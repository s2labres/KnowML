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6B7ED335-694B-1B4C-8582-0696A680DD0A}" xr6:coauthVersionLast="47" xr6:coauthVersionMax="47" xr10:uidLastSave="{00000000-0000-0000-0000-000000000000}"/>
  <bookViews>
    <workbookView xWindow="14780" yWindow="7540" windowWidth="36000" windowHeight="19860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2" i="1"/>
  <c r="AJ2" i="2"/>
  <c r="AJ2" i="4"/>
  <c r="AG3" i="2"/>
  <c r="AG4" i="2" s="1"/>
  <c r="AG5" i="2" s="1"/>
  <c r="AF2" i="4"/>
  <c r="AH2" i="4" s="1"/>
  <c r="AF2" i="2"/>
  <c r="AF3" i="2" s="1"/>
  <c r="Z2" i="4"/>
  <c r="Z3" i="4" s="1"/>
  <c r="Z4" i="4" s="1"/>
  <c r="Z5" i="4" s="1"/>
  <c r="Z2" i="2"/>
  <c r="Z3" i="2" s="1"/>
  <c r="Z4" i="2" s="1"/>
  <c r="Z5" i="2" s="1"/>
  <c r="Y2" i="4"/>
  <c r="Y3" i="4" s="1"/>
  <c r="Y4" i="4" s="1"/>
  <c r="Y5" i="4" s="1"/>
  <c r="Y2" i="2"/>
  <c r="Y3" i="2" s="1"/>
  <c r="Y4" i="2" s="1"/>
  <c r="Y5" i="2" s="1"/>
  <c r="H5" i="4"/>
  <c r="G5" i="4"/>
  <c r="F5" i="4"/>
  <c r="E5" i="4"/>
  <c r="D5" i="4"/>
  <c r="C5" i="4"/>
  <c r="H4" i="4"/>
  <c r="G4" i="4"/>
  <c r="F4" i="4"/>
  <c r="E4" i="4"/>
  <c r="D4" i="4"/>
  <c r="C4" i="4"/>
  <c r="J3" i="4"/>
  <c r="J4" i="4" s="1"/>
  <c r="H3" i="4"/>
  <c r="G3" i="4"/>
  <c r="F3" i="4"/>
  <c r="E3" i="4"/>
  <c r="D3" i="4"/>
  <c r="C3" i="4"/>
  <c r="A3" i="4"/>
  <c r="AD2" i="4" a="1"/>
  <c r="AD2" i="4" s="1"/>
  <c r="AD3" i="4" s="1" a="1"/>
  <c r="AD3" i="4" s="1"/>
  <c r="AD4" i="4" s="1" a="1"/>
  <c r="AD4" i="4" s="1"/>
  <c r="AD5" i="4" s="1" a="1"/>
  <c r="AD5" i="4" s="1"/>
  <c r="AC2" i="4"/>
  <c r="AC3" i="4" s="1"/>
  <c r="AC4" i="4" s="1"/>
  <c r="AC5" i="4" s="1"/>
  <c r="X2" i="4"/>
  <c r="X3" i="4" s="1"/>
  <c r="X4" i="4" s="1"/>
  <c r="X5" i="4" s="1"/>
  <c r="V2" i="4"/>
  <c r="S2" i="4"/>
  <c r="T2" i="4" s="1"/>
  <c r="U2" i="4" s="1"/>
  <c r="O2" i="4"/>
  <c r="O3" i="4" s="1"/>
  <c r="O4" i="4" s="1"/>
  <c r="N2" i="4"/>
  <c r="N3" i="4" s="1"/>
  <c r="N4" i="4" s="1"/>
  <c r="N5" i="4" s="1"/>
  <c r="M2" i="4"/>
  <c r="M3" i="4" s="1"/>
  <c r="M4" i="4" s="1"/>
  <c r="M5" i="4" s="1"/>
  <c r="L2" i="4"/>
  <c r="L3" i="4" s="1"/>
  <c r="L4" i="4" s="1"/>
  <c r="L5" i="4" s="1"/>
  <c r="K2" i="4"/>
  <c r="K3" i="4" s="1"/>
  <c r="K4" i="4" s="1"/>
  <c r="K5" i="4" s="1"/>
  <c r="G2" i="4"/>
  <c r="F2" i="4"/>
  <c r="E2" i="4"/>
  <c r="D2" i="4"/>
  <c r="C2" i="4"/>
  <c r="A2" i="4"/>
  <c r="V2" i="2"/>
  <c r="H5" i="2"/>
  <c r="H4" i="2"/>
  <c r="X2" i="2"/>
  <c r="X3" i="2" s="1"/>
  <c r="X4" i="2" s="1"/>
  <c r="X5" i="2" s="1"/>
  <c r="N2" i="2"/>
  <c r="N3" i="2" s="1"/>
  <c r="N4" i="2" s="1"/>
  <c r="N5" i="2" s="1"/>
  <c r="M2" i="2"/>
  <c r="M3" i="2" s="1"/>
  <c r="M4" i="2" s="1"/>
  <c r="M5" i="2" s="1"/>
  <c r="L2" i="2"/>
  <c r="L3" i="2" s="1"/>
  <c r="L4" i="2" s="1"/>
  <c r="L5" i="2" s="1"/>
  <c r="K2" i="2"/>
  <c r="K3" i="2" s="1"/>
  <c r="K4" i="2" s="1"/>
  <c r="K5" i="2" s="1"/>
  <c r="AD2" i="2" a="1"/>
  <c r="AD2" i="2" s="1"/>
  <c r="AD3" i="2" s="1" a="1"/>
  <c r="AD3" i="2" s="1"/>
  <c r="AD4" i="2" s="1" a="1"/>
  <c r="AD4" i="2" s="1"/>
  <c r="AD5" i="2" s="1" a="1"/>
  <c r="AD5" i="2" s="1"/>
  <c r="AC2" i="2"/>
  <c r="AC3" i="2" s="1"/>
  <c r="AC4" i="2" s="1"/>
  <c r="AC5" i="2" s="1"/>
  <c r="S2" i="2"/>
  <c r="T2" i="2" s="1"/>
  <c r="U2" i="2" s="1"/>
  <c r="I5" i="4" l="1"/>
  <c r="AF3" i="4"/>
  <c r="AF4" i="2"/>
  <c r="AH3" i="2"/>
  <c r="AI3" i="2" s="1"/>
  <c r="AJ3" i="2" s="1"/>
  <c r="AH2" i="2"/>
  <c r="AB5" i="4"/>
  <c r="I3" i="4"/>
  <c r="AA3" i="4" s="1"/>
  <c r="S3" i="4"/>
  <c r="S4" i="4" s="1"/>
  <c r="I4" i="4"/>
  <c r="AA4" i="4" s="1"/>
  <c r="O5" i="4"/>
  <c r="P4" i="4"/>
  <c r="AA5" i="4"/>
  <c r="P2" i="4"/>
  <c r="Q2" i="4" s="1"/>
  <c r="R2" i="4" s="1"/>
  <c r="J5" i="4"/>
  <c r="P3" i="4"/>
  <c r="O2" i="2"/>
  <c r="O3" i="2" s="1"/>
  <c r="O4" i="2" s="1"/>
  <c r="O5" i="2" s="1"/>
  <c r="J3" i="2"/>
  <c r="AB3" i="4" l="1"/>
  <c r="AH3" i="4"/>
  <c r="AI3" i="4" s="1"/>
  <c r="AF4" i="4"/>
  <c r="P5" i="4"/>
  <c r="AF5" i="2"/>
  <c r="AH5" i="2" s="1"/>
  <c r="AH4" i="2"/>
  <c r="AI4" i="2" s="1"/>
  <c r="AB4" i="4"/>
  <c r="T3" i="4"/>
  <c r="U3" i="4" s="1"/>
  <c r="V3" i="4" s="1"/>
  <c r="T4" i="4"/>
  <c r="U4" i="4" s="1"/>
  <c r="V4" i="4" s="1"/>
  <c r="Q3" i="4"/>
  <c r="R3" i="4" s="1"/>
  <c r="S5" i="4"/>
  <c r="T5" i="4" s="1"/>
  <c r="J4" i="2"/>
  <c r="S3" i="2"/>
  <c r="T3" i="2" s="1"/>
  <c r="P3" i="2"/>
  <c r="P2" i="2"/>
  <c r="Q2" i="2" s="1"/>
  <c r="R2" i="2" s="1"/>
  <c r="Q4" i="4" l="1"/>
  <c r="R4" i="4" s="1"/>
  <c r="AJ3" i="4"/>
  <c r="AF5" i="4"/>
  <c r="AH4" i="4"/>
  <c r="AI4" i="4" s="1"/>
  <c r="AJ4" i="4" s="1"/>
  <c r="AI5" i="2"/>
  <c r="AJ5" i="2" s="1"/>
  <c r="AJ4" i="2"/>
  <c r="U5" i="4"/>
  <c r="V5" i="4" s="1"/>
  <c r="Q5" i="4"/>
  <c r="R5" i="4" s="1"/>
  <c r="Q3" i="2"/>
  <c r="R3" i="2" s="1"/>
  <c r="S4" i="2"/>
  <c r="U3" i="2"/>
  <c r="V3" i="2" s="1"/>
  <c r="J5" i="2"/>
  <c r="P5" i="2" s="1"/>
  <c r="P4" i="2"/>
  <c r="Q4" i="2" l="1"/>
  <c r="Q5" i="2" s="1"/>
  <c r="AH5" i="4"/>
  <c r="AI5" i="4"/>
  <c r="AJ5" i="4" s="1"/>
  <c r="S5" i="2"/>
  <c r="T4" i="2"/>
  <c r="U4" i="2" s="1"/>
  <c r="V4" i="2" s="1"/>
  <c r="R5" i="2"/>
  <c r="R4" i="2"/>
  <c r="T5" i="2" l="1"/>
  <c r="U5" i="2" s="1"/>
  <c r="V5" i="2" s="1"/>
  <c r="F5" i="2"/>
  <c r="F4" i="2"/>
  <c r="F3" i="2"/>
  <c r="F2" i="2"/>
  <c r="G5" i="2"/>
  <c r="G4" i="2"/>
  <c r="I4" i="2" s="1"/>
  <c r="G3" i="2"/>
  <c r="H3" i="2"/>
  <c r="G2" i="2"/>
  <c r="E2" i="2"/>
  <c r="E5" i="2"/>
  <c r="E4" i="2"/>
  <c r="E3" i="2"/>
  <c r="D5" i="2"/>
  <c r="D4" i="2"/>
  <c r="D3" i="2"/>
  <c r="D2" i="2"/>
  <c r="C5" i="2"/>
  <c r="C4" i="2"/>
  <c r="C3" i="2"/>
  <c r="C2" i="2"/>
  <c r="B5" i="2"/>
  <c r="B4" i="2"/>
  <c r="B3" i="2"/>
  <c r="A3" i="2"/>
  <c r="A2" i="2"/>
  <c r="A3" i="1"/>
  <c r="I3" i="2" l="1"/>
  <c r="AB3" i="2" s="1"/>
  <c r="AA3" i="2"/>
  <c r="I5" i="2"/>
  <c r="AB5" i="2" l="1"/>
  <c r="AA5" i="2"/>
  <c r="AB4" i="2"/>
  <c r="AA4" i="2"/>
  <c r="AA2" i="2"/>
  <c r="H2" i="2"/>
  <c r="I2" i="2"/>
  <c r="AB2" i="2"/>
  <c r="AA2" i="4"/>
  <c r="H2" i="4"/>
  <c r="I2" i="4"/>
  <c r="A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<sst xmlns="http://schemas.openxmlformats.org/spreadsheetml/2006/main" count="129" uniqueCount="61">
  <si>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</si>
  <si>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</si>
  <si>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</si>
  <si>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</si>
  <si>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</si>
  <si>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</si>
  <si>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</si>
  <si>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</si>
  <si>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</si>
  <si>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</si>
  <si>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TCP</t>
  </si>
  <si>
    <t>source_mac</t>
  </si>
  <si>
    <t>destination_mac</t>
  </si>
  <si>
    <t>MAC: HOST A</t>
  </si>
  <si>
    <t>protocol_hierarchy</t>
  </si>
  <si>
    <t>eth:ethertype:ip:tcp:tls</t>
  </si>
  <si>
    <t>frame_len</t>
  </si>
  <si>
    <t>http_domain</t>
  </si>
  <si>
    <t>https_domain</t>
  </si>
  <si>
    <t>MAC: HOST B</t>
  </si>
  <si>
    <t>tcp_keep_alive</t>
  </si>
  <si>
    <t>dns_domain_name</t>
  </si>
  <si>
    <t>False</t>
  </si>
  <si>
    <t>True</t>
  </si>
  <si>
    <t>ssh_encrypted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</si>
  <si>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</si>
  <si>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</si>
  <si>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</si>
  <si>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</si>
  <si>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</si>
  <si>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</si>
  <si>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</si>
  <si>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</si>
  <si>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</si>
  <si>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</si>
  <si>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</si>
  <si>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</si>
  <si>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</si>
  <si>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</si>
  <si>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</si>
  <si>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</si>
  <si>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</si>
  <si>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</si>
  <si>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</si>
  <si>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</si>
  <si>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</si>
  <si>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</si>
  <si>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</si>
  <si>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</si>
  <si>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</si>
  <si>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</si>
  <si>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</si>
  <si>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</si>
  <si>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</t>
  </si>
  <si>
    <t>ttl_packets</t>
  </si>
  <si>
    <t>ttl_mean</t>
  </si>
  <si>
    <t>ttl_ssr</t>
  </si>
  <si>
    <t>ttl_std</t>
  </si>
  <si>
    <t>MAC: HOST A-443</t>
  </si>
  <si>
    <t>ex_ack_number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</si>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</sst>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U6"/>
  <sheetViews>
    <sheetView tabSelected="1" topLeftCell="O1" zoomScale="244" zoomScaleNormal="130" workbookViewId="0">
      <selection activeCell="S2" sqref="S2:S6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8" max="8" width="35.6640625" customWidth="1"/>
    <col min="9" max="9" width="26.83203125" customWidth="1"/>
    <col min="14" max="14" width="25.33203125" customWidth="1"/>
    <col min="15" max="15" width="17.1640625" customWidth="1"/>
    <col min="16" max="16" width="9.5" bestFit="1" customWidth="1"/>
    <col min="17" max="17" width="18.5" customWidth="1"/>
    <col min="18" max="18" width="25.1640625" customWidth="1"/>
    <col min="19" max="19" width="17.33203125" customWidth="1"/>
  </cols>
  <sheetData>
    <row r="1" spans="1:21" x14ac:dyDescent="0.2">
      <c r="A1" t="s">
        <v>0</v>
      </c>
      <c r="B1" t="s">
        <v>11</v>
      </c>
      <c r="C1" t="s">
        <v>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16</v>
      </c>
      <c r="J1" t="s">
        <v>6</v>
      </c>
      <c r="K1" t="s">
        <v>7</v>
      </c>
      <c r="L1" t="s">
        <v>8</v>
      </c>
      <c r="M1" t="s">
        <v>9</v>
      </c>
      <c r="N1" t="s">
        <v>14</v>
      </c>
      <c r="O1" t="s">
        <v>20</v>
      </c>
      <c r="P1" t="s">
        <v>17</v>
      </c>
      <c r="Q1" t="s">
        <v>18</v>
      </c>
      <c r="R1" t="s">
        <v>21</v>
      </c>
      <c r="S1" t="s">
        <v>24</v>
      </c>
      <c r="T1" t="s">
        <v>53</v>
      </c>
      <c r="U1" t="s">
        <v>60</v>
      </c>
    </row>
    <row r="2" spans="1:21" x14ac:dyDescent="0.2">
      <c r="A2">
        <f>ROW() - 2</f>
        <v>0</v>
      </c>
      <c r="B2" s="1" t="s">
        <v>13</v>
      </c>
      <c r="C2" t="s">
        <v>19</v>
      </c>
      <c r="D2">
        <v>443</v>
      </c>
      <c r="E2">
        <v>80</v>
      </c>
      <c r="F2">
        <v>0</v>
      </c>
      <c r="G2" t="s">
        <v>10</v>
      </c>
      <c r="H2">
        <v>12</v>
      </c>
      <c r="I2">
        <v>10</v>
      </c>
      <c r="J2" s="2" t="s">
        <v>22</v>
      </c>
      <c r="K2" s="2" t="s">
        <v>23</v>
      </c>
      <c r="L2" s="2" t="s">
        <v>22</v>
      </c>
      <c r="M2" s="2" t="s">
        <v>22</v>
      </c>
      <c r="N2" s="2" t="s">
        <v>15</v>
      </c>
      <c r="O2" s="2"/>
      <c r="S2">
        <v>0</v>
      </c>
      <c r="T2">
        <v>10</v>
      </c>
      <c r="U2">
        <v>0</v>
      </c>
    </row>
    <row r="3" spans="1:21" x14ac:dyDescent="0.2">
      <c r="A3">
        <f>ROW() - 2</f>
        <v>1</v>
      </c>
      <c r="B3" s="1" t="s">
        <v>13</v>
      </c>
      <c r="C3" t="s">
        <v>19</v>
      </c>
      <c r="D3">
        <v>443</v>
      </c>
      <c r="E3">
        <v>80</v>
      </c>
      <c r="F3">
        <v>2.5</v>
      </c>
      <c r="G3" t="s">
        <v>10</v>
      </c>
      <c r="H3">
        <v>20</v>
      </c>
      <c r="I3">
        <v>14</v>
      </c>
      <c r="J3" s="2" t="s">
        <v>22</v>
      </c>
      <c r="K3" s="2" t="s">
        <v>23</v>
      </c>
      <c r="L3" s="2" t="s">
        <v>22</v>
      </c>
      <c r="M3" s="2" t="s">
        <v>22</v>
      </c>
      <c r="N3" t="s">
        <v>15</v>
      </c>
      <c r="O3" s="4"/>
      <c r="S3">
        <v>0</v>
      </c>
      <c r="T3">
        <v>12</v>
      </c>
      <c r="U3">
        <v>0</v>
      </c>
    </row>
    <row r="4" spans="1:21" x14ac:dyDescent="0.2">
      <c r="A4">
        <v>2</v>
      </c>
      <c r="B4" s="1" t="s">
        <v>13</v>
      </c>
      <c r="C4" t="s">
        <v>19</v>
      </c>
      <c r="D4">
        <v>443</v>
      </c>
      <c r="E4">
        <v>80</v>
      </c>
      <c r="F4">
        <v>2.6</v>
      </c>
      <c r="G4" t="s">
        <v>10</v>
      </c>
      <c r="H4">
        <v>7</v>
      </c>
      <c r="I4">
        <v>11</v>
      </c>
      <c r="J4" s="2" t="s">
        <v>22</v>
      </c>
      <c r="K4" s="2" t="s">
        <v>23</v>
      </c>
      <c r="L4" s="2" t="s">
        <v>22</v>
      </c>
      <c r="M4" s="2" t="s">
        <v>22</v>
      </c>
      <c r="N4" t="s">
        <v>15</v>
      </c>
      <c r="O4" s="2"/>
      <c r="S4">
        <v>0</v>
      </c>
      <c r="T4">
        <v>14</v>
      </c>
      <c r="U4">
        <v>0</v>
      </c>
    </row>
    <row r="5" spans="1:21" x14ac:dyDescent="0.2">
      <c r="A5">
        <v>3</v>
      </c>
      <c r="B5" s="1" t="s">
        <v>13</v>
      </c>
      <c r="C5" t="s">
        <v>19</v>
      </c>
      <c r="D5">
        <v>443</v>
      </c>
      <c r="E5">
        <v>80</v>
      </c>
      <c r="F5">
        <v>3.2</v>
      </c>
      <c r="G5" t="s">
        <v>10</v>
      </c>
      <c r="H5">
        <v>32</v>
      </c>
      <c r="I5">
        <v>10</v>
      </c>
      <c r="J5" s="2" t="s">
        <v>22</v>
      </c>
      <c r="K5" s="2" t="s">
        <v>23</v>
      </c>
      <c r="L5" s="2" t="s">
        <v>22</v>
      </c>
      <c r="M5" s="2" t="s">
        <v>22</v>
      </c>
      <c r="N5" t="s">
        <v>15</v>
      </c>
      <c r="O5" s="2"/>
      <c r="S5">
        <v>0</v>
      </c>
      <c r="T5">
        <v>16</v>
      </c>
      <c r="U5">
        <v>0</v>
      </c>
    </row>
    <row r="6" spans="1:21" x14ac:dyDescent="0.2">
      <c r="S6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J5"/>
  <sheetViews>
    <sheetView topLeftCell="AB1" zoomScale="202" zoomScaleNormal="202" workbookViewId="0">
      <selection activeCell="AJ1" sqref="AJ1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3.83203125" customWidth="1"/>
    <col min="31" max="31" width="28.33203125" customWidth="1"/>
    <col min="32" max="32" width="17.33203125" customWidth="1"/>
  </cols>
  <sheetData>
    <row r="1" spans="1:36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59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1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:I5" si="1">H3-G3</f>
        <v>2.5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2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tr">
        <f>'mocked packets'!B5</f>
        <v>MAC: HOST A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3</v>
      </c>
      <c r="M4">
        <f>IF('mocked packets'!L4=TRUE,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5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packets'!O4),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 + AF3</f>
        <v>36</v>
      </c>
      <c r="AG4">
        <f t="shared" ref="AG4:AG5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</row>
    <row r="5" spans="1:36" x14ac:dyDescent="0.2">
      <c r="A5">
        <v>3</v>
      </c>
      <c r="B5" s="1" t="str">
        <f>'mocked packets'!B4</f>
        <v>MAC: HOST A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si="1"/>
        <v>3.2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4</v>
      </c>
      <c r="M5">
        <f>IF('mocked packets'!L5=TRUE,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" si="11">IF(J5 &gt; 1, (U5/(J5 - 1))^0.5, 0)</f>
        <v>0.74336571927456574</v>
      </c>
      <c r="W5">
        <v>-1</v>
      </c>
      <c r="X5" s="3">
        <f>IF(NOT('mocked packets'!O5),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J5"/>
  <sheetViews>
    <sheetView topLeftCell="AC1" zoomScale="202" zoomScaleNormal="202" workbookViewId="0">
      <selection activeCell="AF1" sqref="AF1:AF1048576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13.6640625" customWidth="1"/>
    <col min="31" max="31" width="28.33203125" customWidth="1"/>
    <col min="32" max="32" width="15.6640625" customWidth="1"/>
  </cols>
  <sheetData>
    <row r="1" spans="1:36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4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59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</row>
    <row r="2" spans="1:36" x14ac:dyDescent="0.2">
      <c r="A2">
        <f>ROW() - 2</f>
        <v>0</v>
      </c>
      <c r="B2" s="1" t="s">
        <v>58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TCP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1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1">
        <f>'mocked packets'!T2</f>
        <v>10</v>
      </c>
      <c r="AG2" s="1">
        <v>1</v>
      </c>
      <c r="AH2">
        <f xml:space="preserve"> AF2 /AG2</f>
        <v>10</v>
      </c>
      <c r="AI2">
        <v>0</v>
      </c>
      <c r="AJ2">
        <f>(AI2/AG2)^2</f>
        <v>0</v>
      </c>
    </row>
    <row r="3" spans="1:36" x14ac:dyDescent="0.2">
      <c r="A3">
        <f>ROW() - 2</f>
        <v>1</v>
      </c>
      <c r="B3" s="1" t="s">
        <v>58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packets'!G2</f>
        <v>TCP</v>
      </c>
      <c r="G3">
        <f>'mocked packets'!F2</f>
        <v>0</v>
      </c>
      <c r="H3">
        <f>'mocked packets'!F3</f>
        <v>2.5</v>
      </c>
      <c r="I3">
        <f t="shared" ref="I3" si="1">H3-G3</f>
        <v>2.5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2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2.5</v>
      </c>
      <c r="T3">
        <f>IF(S3&gt;0,S3/(J3-1), 0)</f>
        <v>2.5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0.8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 s="1">
        <f>'mocked packets'!T3 + AF2</f>
        <v>22</v>
      </c>
      <c r="AG3" s="1"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</row>
    <row r="4" spans="1:36" x14ac:dyDescent="0.2">
      <c r="A4">
        <v>2</v>
      </c>
      <c r="B4" s="1" t="s">
        <v>58</v>
      </c>
      <c r="C4" t="str">
        <f>'mocked packets'!C5</f>
        <v>MAC: HOST B</v>
      </c>
      <c r="D4">
        <f>'mocked packets'!D5</f>
        <v>443</v>
      </c>
      <c r="E4">
        <f>'mocked packets'!E5</f>
        <v>80</v>
      </c>
      <c r="F4" t="str">
        <f>'mocked packets'!G2</f>
        <v>TCP</v>
      </c>
      <c r="G4">
        <f>'mocked packets'!F2</f>
        <v>0</v>
      </c>
      <c r="H4">
        <f>'mocked packets'!F4</f>
        <v>2.6</v>
      </c>
      <c r="I4">
        <f>H4-G4</f>
        <v>2.6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3</v>
      </c>
      <c r="M4">
        <f>IF('mocked packets'!L4=TRUE,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2.6</v>
      </c>
      <c r="T4">
        <f t="shared" ref="T4:T5" si="7">IF(S4&gt;0,S4/(J4-1), 0)</f>
        <v>1.3</v>
      </c>
      <c r="U4">
        <f>((S4-S3) - T4)^2</f>
        <v>1.44</v>
      </c>
      <c r="V4">
        <f>IF(J4 &gt; 1, (U4/(J4 - 1))^0.5, 0)</f>
        <v>0.84852813742385702</v>
      </c>
      <c r="W4">
        <v>-1</v>
      </c>
      <c r="X4" s="3">
        <f>IF(NOT('mocked packets'!O4), 0 + X3, 1 + 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1.1538461538461537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 s="1">
        <f>'mocked packets'!T4 + AF3</f>
        <v>36</v>
      </c>
      <c r="AG4" s="1">
        <v>3</v>
      </c>
      <c r="AH4">
        <f t="shared" si="5"/>
        <v>12</v>
      </c>
      <c r="AI4">
        <f t="shared" ref="AI4:AI5" si="8">((AF4 - AF3) - AH4)^2 + AI3</f>
        <v>5</v>
      </c>
      <c r="AJ4">
        <f t="shared" ref="AJ4:AJ5" si="9">(AI4/AG4) ^0.5</f>
        <v>1.2909944487358056</v>
      </c>
    </row>
    <row r="5" spans="1:36" x14ac:dyDescent="0.2">
      <c r="A5">
        <v>3</v>
      </c>
      <c r="B5" s="1" t="s">
        <v>58</v>
      </c>
      <c r="C5" t="str">
        <f>'mocked packets'!C4</f>
        <v>MAC: HOST B</v>
      </c>
      <c r="D5">
        <f>'mocked packets'!D4</f>
        <v>443</v>
      </c>
      <c r="E5">
        <f>'mocked packets'!E4</f>
        <v>80</v>
      </c>
      <c r="F5" t="str">
        <f>'mocked packets'!G2</f>
        <v>TCP</v>
      </c>
      <c r="G5">
        <f>'mocked packets'!F2</f>
        <v>0</v>
      </c>
      <c r="H5">
        <f>'mocked packets'!F5</f>
        <v>3.2</v>
      </c>
      <c r="I5">
        <f t="shared" ref="I5" si="10">H5-G5</f>
        <v>3.2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4</v>
      </c>
      <c r="M5">
        <f>IF('mocked packets'!L5=TRUE,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3.2</v>
      </c>
      <c r="T5">
        <f t="shared" si="7"/>
        <v>1.0666666666666667</v>
      </c>
      <c r="U5">
        <f>(('mocked packets'!F5 - 'mocked packets'!F4) - T5)^2 + U4</f>
        <v>1.6577777777777776</v>
      </c>
      <c r="V5">
        <f t="shared" ref="V5" si="11">IF(J5 &gt; 1, (U5/(J5 - 1))^0.5, 0)</f>
        <v>0.74336571927456574</v>
      </c>
      <c r="W5">
        <v>-1</v>
      </c>
      <c r="X5" s="3">
        <f>IF(NOT('mocked packets'!O5), 0 + X4, 1 + 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1.25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 s="1">
        <f>'mocked packets'!T5 + AF4</f>
        <v>52</v>
      </c>
      <c r="AG5" s="1">
        <v>4</v>
      </c>
      <c r="AH5">
        <f t="shared" si="5"/>
        <v>13</v>
      </c>
      <c r="AI5">
        <f t="shared" si="8"/>
        <v>14</v>
      </c>
      <c r="AJ5">
        <f t="shared" si="9"/>
        <v>1.8708286933869707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2024-08-31T18:47:56Z</dcterms:modified>
</cp:coreProperties>
</file>