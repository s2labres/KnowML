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fanguo/Desktop/Repos/Knowledge_Driven_and_Context_Awere_detection/FE_V2/Test/"/>
    </mc:Choice>
  </mc:AlternateContent>
  <xr:revisionPtr revIDLastSave="0" documentId="13_ncr:1_{29CEAE92-89AB-1641-972F-C5EAF28A7FB6}" xr6:coauthVersionLast="47" xr6:coauthVersionMax="47" xr10:uidLastSave="{00000000-0000-0000-0000-000000000000}"/>
  <bookViews>
    <workbookView xWindow="20160" yWindow="2980" windowWidth="35980" windowHeight="19860" activeTab="2" xr2:uid="{45553426-698C-534C-B5C9-1E7492643028}"/>
  </bookViews>
  <sheets>
    <sheet name="mocked packets" sheetId="1" r:id="rId1"/>
    <sheet name="Channel conversation" sheetId="2" r:id="rId2"/>
    <sheet name="Destination port convers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9" i="4"/>
  <c r="AG9" i="2" l="1"/>
  <c r="L9" i="2"/>
  <c r="AG9" i="4"/>
  <c r="L9" i="4"/>
  <c r="AC9" i="4"/>
  <c r="AC9" i="2"/>
  <c r="C8" i="2"/>
  <c r="C8" i="4"/>
  <c r="E7" i="4"/>
  <c r="D7" i="4"/>
  <c r="B7" i="2"/>
  <c r="E7" i="2"/>
  <c r="D7" i="2"/>
  <c r="AF9" i="4" l="1"/>
  <c r="AH9" i="4" s="1"/>
  <c r="Y9" i="4"/>
  <c r="O9" i="4"/>
  <c r="N9" i="4"/>
  <c r="J9" i="4"/>
  <c r="S9" i="4" s="1"/>
  <c r="T9" i="4" s="1"/>
  <c r="H9" i="4"/>
  <c r="G9" i="4"/>
  <c r="E9" i="4"/>
  <c r="D9" i="4"/>
  <c r="C9" i="4"/>
  <c r="AG8" i="4"/>
  <c r="AJ9" i="4" s="1"/>
  <c r="H8" i="4"/>
  <c r="G8" i="4"/>
  <c r="F8" i="4"/>
  <c r="E8" i="4"/>
  <c r="D8" i="4"/>
  <c r="AG7" i="4"/>
  <c r="H7" i="4"/>
  <c r="G7" i="4"/>
  <c r="F7" i="4"/>
  <c r="C7" i="4"/>
  <c r="AG6" i="4"/>
  <c r="H6" i="4"/>
  <c r="G6" i="4"/>
  <c r="F6" i="4"/>
  <c r="E6" i="4"/>
  <c r="D6" i="4"/>
  <c r="C6" i="4"/>
  <c r="AF9" i="2"/>
  <c r="Y9" i="2"/>
  <c r="E8" i="2"/>
  <c r="D8" i="2"/>
  <c r="B8" i="2"/>
  <c r="O9" i="2"/>
  <c r="N9" i="2"/>
  <c r="J9" i="2"/>
  <c r="G9" i="2"/>
  <c r="P9" i="2"/>
  <c r="Q9" i="2" s="1"/>
  <c r="H9" i="2"/>
  <c r="E9" i="2"/>
  <c r="D9" i="2"/>
  <c r="C9" i="2"/>
  <c r="B9" i="2"/>
  <c r="G8" i="2"/>
  <c r="G7" i="2"/>
  <c r="G6" i="2"/>
  <c r="C6" i="2"/>
  <c r="B6" i="2"/>
  <c r="H8" i="2"/>
  <c r="F8" i="2"/>
  <c r="H7" i="2"/>
  <c r="I7" i="2" s="1"/>
  <c r="AA7" i="2" s="1"/>
  <c r="F7" i="2"/>
  <c r="C7" i="2"/>
  <c r="H6" i="2"/>
  <c r="F6" i="2"/>
  <c r="E6" i="2"/>
  <c r="D6" i="2"/>
  <c r="AJ2" i="2"/>
  <c r="AJ2" i="4"/>
  <c r="AG3" i="2"/>
  <c r="AG4" i="2" s="1"/>
  <c r="AG5" i="2" s="1"/>
  <c r="AG6" i="2" s="1"/>
  <c r="AG7" i="2" s="1"/>
  <c r="AG8" i="2" s="1"/>
  <c r="AF2" i="4"/>
  <c r="AH2" i="4" s="1"/>
  <c r="AF2" i="2"/>
  <c r="AF3" i="2" s="1"/>
  <c r="Z2" i="4"/>
  <c r="Z3" i="4" s="1"/>
  <c r="Z4" i="4" s="1"/>
  <c r="Z5" i="4" s="1"/>
  <c r="Z6" i="4" s="1"/>
  <c r="Z7" i="4" s="1"/>
  <c r="Z8" i="4" s="1"/>
  <c r="Z2" i="2"/>
  <c r="Z3" i="2" s="1"/>
  <c r="Z4" i="2" s="1"/>
  <c r="Z5" i="2" s="1"/>
  <c r="Z6" i="2" s="1"/>
  <c r="Z7" i="2" s="1"/>
  <c r="Z8" i="2" s="1"/>
  <c r="Y2" i="4"/>
  <c r="Y3" i="4" s="1"/>
  <c r="Y4" i="4" s="1"/>
  <c r="Y5" i="4" s="1"/>
  <c r="Y6" i="4" s="1"/>
  <c r="Y7" i="4" s="1"/>
  <c r="Y8" i="4" s="1"/>
  <c r="Y2" i="2"/>
  <c r="Y3" i="2" s="1"/>
  <c r="Y4" i="2" s="1"/>
  <c r="Y5" i="2" s="1"/>
  <c r="Y6" i="2" s="1"/>
  <c r="Y7" i="2" s="1"/>
  <c r="Y8" i="2" s="1"/>
  <c r="H5" i="4"/>
  <c r="G5" i="4"/>
  <c r="F5" i="4"/>
  <c r="E5" i="4"/>
  <c r="D5" i="4"/>
  <c r="C5" i="4"/>
  <c r="H4" i="4"/>
  <c r="G4" i="4"/>
  <c r="F4" i="4"/>
  <c r="E4" i="4"/>
  <c r="D4" i="4"/>
  <c r="C4" i="4"/>
  <c r="J3" i="4"/>
  <c r="J4" i="4" s="1"/>
  <c r="H3" i="4"/>
  <c r="G3" i="4"/>
  <c r="F3" i="4"/>
  <c r="E3" i="4"/>
  <c r="D3" i="4"/>
  <c r="C3" i="4"/>
  <c r="A3" i="4"/>
  <c r="AD2" i="4" a="1"/>
  <c r="AD2" i="4" s="1"/>
  <c r="AD3" i="4" s="1" a="1"/>
  <c r="AD3" i="4" s="1"/>
  <c r="AD4" i="4" s="1" a="1"/>
  <c r="AD4" i="4" s="1"/>
  <c r="AD5" i="4" s="1" a="1"/>
  <c r="AD5" i="4" s="1"/>
  <c r="AD6" i="4" s="1" a="1"/>
  <c r="AD6" i="4" s="1"/>
  <c r="AD7" i="4" s="1" a="1"/>
  <c r="AD7" i="4" s="1"/>
  <c r="AD8" i="4" s="1" a="1"/>
  <c r="AD8" i="4" s="1"/>
  <c r="AD9" i="4" s="1" a="1"/>
  <c r="AD9" i="4" s="1"/>
  <c r="AC2" i="4"/>
  <c r="AC3" i="4" s="1"/>
  <c r="AC4" i="4" s="1"/>
  <c r="AC5" i="4" s="1"/>
  <c r="AC6" i="4" s="1"/>
  <c r="AC7" i="4" s="1"/>
  <c r="AC8" i="4" s="1"/>
  <c r="X2" i="4"/>
  <c r="X3" i="4" s="1"/>
  <c r="X4" i="4" s="1"/>
  <c r="X5" i="4" s="1"/>
  <c r="X6" i="4" s="1"/>
  <c r="X7" i="4" s="1"/>
  <c r="X8" i="4" s="1"/>
  <c r="X9" i="4" s="1"/>
  <c r="V2" i="4"/>
  <c r="S2" i="4"/>
  <c r="T2" i="4" s="1"/>
  <c r="U2" i="4" s="1"/>
  <c r="O2" i="4"/>
  <c r="O3" i="4" s="1"/>
  <c r="O4" i="4" s="1"/>
  <c r="N2" i="4"/>
  <c r="N3" i="4" s="1"/>
  <c r="N4" i="4" s="1"/>
  <c r="N5" i="4" s="1"/>
  <c r="N6" i="4" s="1"/>
  <c r="N7" i="4" s="1"/>
  <c r="N8" i="4" s="1"/>
  <c r="M2" i="4"/>
  <c r="M3" i="4" s="1"/>
  <c r="M4" i="4" s="1"/>
  <c r="M5" i="4" s="1"/>
  <c r="M6" i="4" s="1"/>
  <c r="M7" i="4" s="1"/>
  <c r="M8" i="4" s="1"/>
  <c r="M9" i="4" s="1"/>
  <c r="L2" i="4"/>
  <c r="L3" i="4" s="1"/>
  <c r="L4" i="4" s="1"/>
  <c r="L5" i="4" s="1"/>
  <c r="L6" i="4" s="1"/>
  <c r="L7" i="4" s="1"/>
  <c r="L8" i="4" s="1"/>
  <c r="K2" i="4"/>
  <c r="K3" i="4" s="1"/>
  <c r="K4" i="4" s="1"/>
  <c r="K5" i="4" s="1"/>
  <c r="K6" i="4" s="1"/>
  <c r="K7" i="4" s="1"/>
  <c r="K8" i="4" s="1"/>
  <c r="K9" i="4" s="1"/>
  <c r="G2" i="4"/>
  <c r="F2" i="4"/>
  <c r="E2" i="4"/>
  <c r="D2" i="4"/>
  <c r="C2" i="4"/>
  <c r="A2" i="4"/>
  <c r="V2" i="2"/>
  <c r="H5" i="2"/>
  <c r="H4" i="2"/>
  <c r="K3" i="2"/>
  <c r="K4" i="2" s="1"/>
  <c r="K5" i="2" s="1"/>
  <c r="K6" i="2" s="1"/>
  <c r="K7" i="2" s="1"/>
  <c r="K8" i="2" s="1"/>
  <c r="K9" i="2" s="1"/>
  <c r="X2" i="2"/>
  <c r="X3" i="2" s="1"/>
  <c r="X4" i="2" s="1"/>
  <c r="X5" i="2" s="1"/>
  <c r="X6" i="2" s="1"/>
  <c r="X7" i="2" s="1"/>
  <c r="X8" i="2" s="1"/>
  <c r="X9" i="2" s="1"/>
  <c r="N2" i="2"/>
  <c r="N3" i="2" s="1"/>
  <c r="N4" i="2" s="1"/>
  <c r="N5" i="2" s="1"/>
  <c r="N6" i="2" s="1"/>
  <c r="N7" i="2" s="1"/>
  <c r="N8" i="2" s="1"/>
  <c r="M2" i="2"/>
  <c r="M3" i="2" s="1"/>
  <c r="M4" i="2" s="1"/>
  <c r="M5" i="2" s="1"/>
  <c r="M6" i="2" s="1"/>
  <c r="M7" i="2" s="1"/>
  <c r="M8" i="2" s="1"/>
  <c r="M9" i="2" s="1"/>
  <c r="L2" i="2"/>
  <c r="L3" i="2" s="1"/>
  <c r="L4" i="2" s="1"/>
  <c r="L5" i="2" s="1"/>
  <c r="L6" i="2" s="1"/>
  <c r="L7" i="2" s="1"/>
  <c r="L8" i="2" s="1"/>
  <c r="K2" i="2"/>
  <c r="B2" i="2"/>
  <c r="AD2" i="2" a="1"/>
  <c r="AD2" i="2" s="1"/>
  <c r="AD3" i="2" s="1" a="1"/>
  <c r="AD3" i="2" s="1"/>
  <c r="AD4" i="2" s="1" a="1"/>
  <c r="AD4" i="2" s="1"/>
  <c r="AD5" i="2" s="1" a="1"/>
  <c r="AD5" i="2" s="1"/>
  <c r="AD6" i="2" s="1" a="1"/>
  <c r="AD6" i="2" s="1"/>
  <c r="AD7" i="2" s="1" a="1"/>
  <c r="AD7" i="2" s="1"/>
  <c r="AD8" i="2" s="1" a="1"/>
  <c r="AD8" i="2" s="1"/>
  <c r="AD9" i="2" s="1" a="1"/>
  <c r="AD9" i="2" s="1"/>
  <c r="AC2" i="2"/>
  <c r="AC3" i="2" s="1"/>
  <c r="AC4" i="2" s="1"/>
  <c r="AC5" i="2" s="1"/>
  <c r="AC6" i="2" s="1"/>
  <c r="AC7" i="2" s="1"/>
  <c r="AC8" i="2" s="1"/>
  <c r="S2" i="2"/>
  <c r="T2" i="2" s="1"/>
  <c r="U2" i="2" s="1"/>
  <c r="P9" i="4" l="1"/>
  <c r="Q9" i="4" s="1"/>
  <c r="R9" i="4" s="1"/>
  <c r="I9" i="4"/>
  <c r="AA9" i="4" s="1"/>
  <c r="I6" i="2"/>
  <c r="I6" i="4"/>
  <c r="AA6" i="4" s="1"/>
  <c r="I8" i="4"/>
  <c r="I8" i="2"/>
  <c r="AB8" i="2" s="1"/>
  <c r="I7" i="4"/>
  <c r="AB6" i="2"/>
  <c r="AB8" i="4"/>
  <c r="AA8" i="4"/>
  <c r="AB7" i="4"/>
  <c r="AA7" i="4"/>
  <c r="V9" i="4"/>
  <c r="AB9" i="4"/>
  <c r="I9" i="2"/>
  <c r="AA9" i="2" s="1"/>
  <c r="AB9" i="2"/>
  <c r="AH9" i="2"/>
  <c r="AA8" i="2"/>
  <c r="AB7" i="2"/>
  <c r="AA6" i="2"/>
  <c r="I5" i="4"/>
  <c r="AB5" i="4" s="1"/>
  <c r="AF3" i="4"/>
  <c r="AF4" i="2"/>
  <c r="AH3" i="2"/>
  <c r="AI3" i="2" s="1"/>
  <c r="AJ3" i="2" s="1"/>
  <c r="AH2" i="2"/>
  <c r="I3" i="4"/>
  <c r="AA3" i="4" s="1"/>
  <c r="S3" i="4"/>
  <c r="S4" i="4" s="1"/>
  <c r="I4" i="4"/>
  <c r="AA4" i="4" s="1"/>
  <c r="O5" i="4"/>
  <c r="O6" i="4" s="1"/>
  <c r="O7" i="4" s="1"/>
  <c r="P4" i="4"/>
  <c r="P2" i="4"/>
  <c r="Q2" i="4" s="1"/>
  <c r="R2" i="4" s="1"/>
  <c r="J5" i="4"/>
  <c r="J6" i="4" s="1"/>
  <c r="J7" i="4" s="1"/>
  <c r="J8" i="4" s="1"/>
  <c r="P3" i="4"/>
  <c r="O2" i="2"/>
  <c r="O3" i="2" s="1"/>
  <c r="O4" i="2" s="1"/>
  <c r="O5" i="2" s="1"/>
  <c r="O6" i="2" s="1"/>
  <c r="J3" i="2"/>
  <c r="P7" i="4" l="1"/>
  <c r="P6" i="4"/>
  <c r="AB6" i="4"/>
  <c r="AA5" i="4"/>
  <c r="O8" i="4"/>
  <c r="P8" i="4" s="1"/>
  <c r="O7" i="2"/>
  <c r="AB3" i="4"/>
  <c r="AH3" i="4"/>
  <c r="AI3" i="4" s="1"/>
  <c r="AF4" i="4"/>
  <c r="P5" i="4"/>
  <c r="AF5" i="2"/>
  <c r="AH4" i="2"/>
  <c r="AI4" i="2" s="1"/>
  <c r="AB4" i="4"/>
  <c r="T3" i="4"/>
  <c r="U3" i="4" s="1"/>
  <c r="V3" i="4" s="1"/>
  <c r="T4" i="4"/>
  <c r="U4" i="4" s="1"/>
  <c r="V4" i="4" s="1"/>
  <c r="Q3" i="4"/>
  <c r="R3" i="4" s="1"/>
  <c r="Q4" i="4"/>
  <c r="R4" i="4" s="1"/>
  <c r="S5" i="4"/>
  <c r="J4" i="2"/>
  <c r="S3" i="2"/>
  <c r="T3" i="2" s="1"/>
  <c r="P3" i="2"/>
  <c r="P2" i="2"/>
  <c r="Q2" i="2" s="1"/>
  <c r="R2" i="2" s="1"/>
  <c r="O8" i="2" l="1"/>
  <c r="T5" i="4"/>
  <c r="U5" i="4" s="1"/>
  <c r="V5" i="4" s="1"/>
  <c r="S6" i="4"/>
  <c r="AH5" i="2"/>
  <c r="AF6" i="2"/>
  <c r="AJ3" i="4"/>
  <c r="AF5" i="4"/>
  <c r="AF6" i="4" s="1"/>
  <c r="AH4" i="4"/>
  <c r="AI4" i="4" s="1"/>
  <c r="AJ4" i="4" s="1"/>
  <c r="AI5" i="2"/>
  <c r="AJ4" i="2"/>
  <c r="Q5" i="4"/>
  <c r="Q3" i="2"/>
  <c r="R3" i="2"/>
  <c r="S4" i="2"/>
  <c r="U3" i="2"/>
  <c r="V3" i="2" s="1"/>
  <c r="J5" i="2"/>
  <c r="J6" i="2" s="1"/>
  <c r="P5" i="2"/>
  <c r="P4" i="2"/>
  <c r="J7" i="2" l="1"/>
  <c r="P6" i="2"/>
  <c r="AH6" i="2"/>
  <c r="AI6" i="2" s="1"/>
  <c r="AF7" i="2"/>
  <c r="T6" i="4"/>
  <c r="U6" i="4" s="1"/>
  <c r="V6" i="4" s="1"/>
  <c r="S7" i="4"/>
  <c r="AH6" i="4"/>
  <c r="AF7" i="4"/>
  <c r="AI6" i="4"/>
  <c r="AJ6" i="4" s="1"/>
  <c r="R5" i="4"/>
  <c r="Q6" i="4"/>
  <c r="AJ5" i="2"/>
  <c r="Q4" i="2"/>
  <c r="Q5" i="2" s="1"/>
  <c r="Q6" i="2" s="1"/>
  <c r="AH5" i="4"/>
  <c r="AI5" i="4"/>
  <c r="AJ5" i="4" s="1"/>
  <c r="S5" i="2"/>
  <c r="S6" i="2" s="1"/>
  <c r="T4" i="2"/>
  <c r="U4" i="2" s="1"/>
  <c r="V4" i="2" s="1"/>
  <c r="R4" i="2"/>
  <c r="J8" i="2" l="1"/>
  <c r="P8" i="2" s="1"/>
  <c r="P7" i="2"/>
  <c r="AF8" i="4"/>
  <c r="AH7" i="4"/>
  <c r="AI7" i="4" s="1"/>
  <c r="AJ7" i="4" s="1"/>
  <c r="T7" i="4"/>
  <c r="U7" i="4" s="1"/>
  <c r="V7" i="4" s="1"/>
  <c r="S8" i="4"/>
  <c r="T8" i="4" s="1"/>
  <c r="U8" i="4" s="1"/>
  <c r="V8" i="4" s="1"/>
  <c r="R5" i="2"/>
  <c r="AF8" i="2"/>
  <c r="AH8" i="2" s="1"/>
  <c r="AH7" i="2"/>
  <c r="AI7" i="2" s="1"/>
  <c r="R6" i="4"/>
  <c r="Q7" i="4"/>
  <c r="T6" i="2"/>
  <c r="S7" i="2"/>
  <c r="R6" i="2"/>
  <c r="Q7" i="2"/>
  <c r="AJ6" i="2"/>
  <c r="T5" i="2"/>
  <c r="U5" i="2" s="1"/>
  <c r="V5" i="2" s="1"/>
  <c r="F5" i="2"/>
  <c r="F4" i="2"/>
  <c r="F3" i="2"/>
  <c r="F2" i="2"/>
  <c r="G5" i="2"/>
  <c r="G4" i="2"/>
  <c r="I4" i="2" s="1"/>
  <c r="G3" i="2"/>
  <c r="H3" i="2"/>
  <c r="G2" i="2"/>
  <c r="E2" i="2"/>
  <c r="E5" i="2"/>
  <c r="E4" i="2"/>
  <c r="E3" i="2"/>
  <c r="D5" i="2"/>
  <c r="D4" i="2"/>
  <c r="D3" i="2"/>
  <c r="D2" i="2"/>
  <c r="C5" i="2"/>
  <c r="C4" i="2"/>
  <c r="C3" i="2"/>
  <c r="C2" i="2"/>
  <c r="B5" i="2"/>
  <c r="B4" i="2"/>
  <c r="B3" i="2"/>
  <c r="A3" i="2"/>
  <c r="A2" i="2"/>
  <c r="A3" i="1"/>
  <c r="A2" i="1"/>
  <c r="R7" i="4" l="1"/>
  <c r="Q8" i="4"/>
  <c r="R8" i="4" s="1"/>
  <c r="AH8" i="4"/>
  <c r="AI8" i="4" s="1"/>
  <c r="AJ8" i="4" s="1"/>
  <c r="R7" i="2"/>
  <c r="Q8" i="2"/>
  <c r="AJ7" i="2"/>
  <c r="AI8" i="2"/>
  <c r="T7" i="2"/>
  <c r="S8" i="2"/>
  <c r="U6" i="2"/>
  <c r="V6" i="2" s="1"/>
  <c r="I3" i="2"/>
  <c r="AB3" i="2" s="1"/>
  <c r="I5" i="2"/>
  <c r="AA3" i="2" l="1"/>
  <c r="AJ8" i="2"/>
  <c r="AJ9" i="2"/>
  <c r="T8" i="2"/>
  <c r="S9" i="2"/>
  <c r="T9" i="2" s="1"/>
  <c r="R8" i="2"/>
  <c r="R9" i="2"/>
  <c r="U7" i="2"/>
  <c r="V7" i="2" s="1"/>
  <c r="AB5" i="2"/>
  <c r="AA5" i="2"/>
  <c r="AB4" i="2"/>
  <c r="AA4" i="2"/>
  <c r="U8" i="2" l="1"/>
  <c r="V8" i="2" s="1"/>
  <c r="V9" i="2" l="1"/>
  <c r="AB2" i="2" l="1"/>
  <c r="H2" i="2"/>
  <c r="I2" i="2"/>
  <c r="AA2" i="2"/>
  <c r="AB2" i="4"/>
  <c r="H2" i="4"/>
  <c r="I2" i="4"/>
  <c r="A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<sst xmlns="http://schemas.openxmlformats.org/spreadsheetml/2006/main" count="166" uniqueCount="64">
  <si>
    <t>Index</t>
  </si>
  <si>
    <t>source_port</t>
  </si>
  <si>
    <t>destination_port</t>
  </si>
  <si>
    <t>timestamp</t>
  </si>
  <si>
    <t>protocol</t>
  </si>
  <si>
    <t>sequence_number</t>
  </si>
  <si>
    <t>syn_flag</t>
  </si>
  <si>
    <t>ack_flag</t>
  </si>
  <si>
    <t>rst_flag</t>
  </si>
  <si>
    <t>fin_flag</t>
  </si>
  <si>
    <t>TCP</t>
  </si>
  <si>
    <t>source_mac</t>
  </si>
  <si>
    <t>destination_mac</t>
  </si>
  <si>
    <t>MAC: HOST A</t>
  </si>
  <si>
    <t>protocol_hierarchy</t>
  </si>
  <si>
    <t>eth:ethertype:ip:tcp:tls</t>
  </si>
  <si>
    <t>frame_len</t>
  </si>
  <si>
    <t>http_domain</t>
  </si>
  <si>
    <t>https_domain</t>
  </si>
  <si>
    <t>MAC: HOST B</t>
  </si>
  <si>
    <t>tcp_keep_alive</t>
  </si>
  <si>
    <t>dns_domain_name</t>
  </si>
  <si>
    <t>False</t>
  </si>
  <si>
    <t>True</t>
  </si>
  <si>
    <t>ssh_encrypted</t>
  </si>
  <si>
    <t>src_mac</t>
  </si>
  <si>
    <t>dst_mac</t>
  </si>
  <si>
    <t>src_port</t>
  </si>
  <si>
    <t>dst_port</t>
  </si>
  <si>
    <t>start_ts</t>
  </si>
  <si>
    <t>last_ts</t>
  </si>
  <si>
    <t>duration</t>
  </si>
  <si>
    <t>total_packet_count</t>
  </si>
  <si>
    <t>syn_flag_count</t>
  </si>
  <si>
    <t>ack_flag_count</t>
  </si>
  <si>
    <t>rst_flag_count</t>
  </si>
  <si>
    <t>fin_flag_count</t>
  </si>
  <si>
    <t>packet_size</t>
  </si>
  <si>
    <t>packet_size_mean</t>
  </si>
  <si>
    <t>packet_size_ssr</t>
  </si>
  <si>
    <t>packet_size_std</t>
  </si>
  <si>
    <t>iat_time</t>
  </si>
  <si>
    <t>iat_time_mean</t>
  </si>
  <si>
    <t>iat_time_ssr</t>
  </si>
  <si>
    <t>iat_time_std</t>
  </si>
  <si>
    <t>keep_alive_count</t>
  </si>
  <si>
    <t>inbound_packet_count</t>
  </si>
  <si>
    <t>outbound_packet_count</t>
  </si>
  <si>
    <t>inbound_packet_rate</t>
  </si>
  <si>
    <t>outbound_packet_rate</t>
  </si>
  <si>
    <t>connection_count</t>
  </si>
  <si>
    <t>invalid_checksums_count</t>
  </si>
  <si>
    <t>num_connection_per_domain</t>
  </si>
  <si>
    <t>ttl</t>
  </si>
  <si>
    <t>ttl_packets</t>
  </si>
  <si>
    <t>ttl_mean</t>
  </si>
  <si>
    <t>ttl_ssr</t>
  </si>
  <si>
    <t>ttl_std</t>
  </si>
  <si>
    <t>MAC: HOST A-443</t>
  </si>
  <si>
    <t>SSH</t>
  </si>
  <si>
    <t>eth:ethertype:ip:tcp:ssh</t>
  </si>
  <si>
    <t>ack_number</t>
  </si>
  <si>
    <t>ex_ack_number</t>
  </si>
  <si>
    <t>tcp_window_size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</si>
</sst>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B760-526A-DF4F-B825-F9394300E2C9}">
  <dimension ref="A1:V10"/>
  <sheetViews>
    <sheetView topLeftCell="P1" zoomScale="244" zoomScaleNormal="130" workbookViewId="0">
      <selection activeCell="T2" sqref="T2:T9"/>
    </sheetView>
  </sheetViews>
  <sheetFormatPr baseColWidth="10" defaultRowHeight="16" x14ac:dyDescent="0.2"/>
  <cols>
    <col min="2" max="2" width="16.5" customWidth="1"/>
    <col min="3" max="3" width="14.83203125" customWidth="1"/>
    <col min="4" max="4" width="12.6640625" customWidth="1"/>
    <col min="5" max="5" width="17.83203125" customWidth="1"/>
    <col min="9" max="9" width="35.6640625" customWidth="1"/>
    <col min="10" max="10" width="26.83203125" customWidth="1"/>
    <col min="15" max="15" width="25.33203125" customWidth="1"/>
    <col min="16" max="16" width="17.1640625" customWidth="1"/>
    <col min="17" max="17" width="9.5" bestFit="1" customWidth="1"/>
    <col min="18" max="18" width="18.5" customWidth="1"/>
    <col min="19" max="19" width="25.1640625" customWidth="1"/>
    <col min="20" max="20" width="17.33203125" customWidth="1"/>
  </cols>
  <sheetData>
    <row r="1" spans="1:22" x14ac:dyDescent="0.2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61</v>
      </c>
      <c r="I1" t="s">
        <v>5</v>
      </c>
      <c r="J1" t="s">
        <v>16</v>
      </c>
      <c r="K1" t="s">
        <v>6</v>
      </c>
      <c r="L1" t="s">
        <v>7</v>
      </c>
      <c r="M1" t="s">
        <v>8</v>
      </c>
      <c r="N1" t="s">
        <v>9</v>
      </c>
      <c r="O1" t="s">
        <v>14</v>
      </c>
      <c r="P1" t="s">
        <v>20</v>
      </c>
      <c r="Q1" t="s">
        <v>17</v>
      </c>
      <c r="R1" t="s">
        <v>18</v>
      </c>
      <c r="S1" t="s">
        <v>21</v>
      </c>
      <c r="T1" t="s">
        <v>24</v>
      </c>
      <c r="U1" t="s">
        <v>53</v>
      </c>
      <c r="V1" t="s">
        <v>63</v>
      </c>
    </row>
    <row r="2" spans="1:22" x14ac:dyDescent="0.2">
      <c r="A2">
        <f>ROW() - 2</f>
        <v>0</v>
      </c>
      <c r="B2" s="1" t="s">
        <v>13</v>
      </c>
      <c r="C2" t="s">
        <v>19</v>
      </c>
      <c r="D2">
        <v>443</v>
      </c>
      <c r="E2">
        <v>80</v>
      </c>
      <c r="F2">
        <v>0</v>
      </c>
      <c r="G2" t="s">
        <v>10</v>
      </c>
      <c r="H2">
        <v>11</v>
      </c>
      <c r="I2">
        <v>12</v>
      </c>
      <c r="J2">
        <v>10</v>
      </c>
      <c r="K2" s="2" t="s">
        <v>22</v>
      </c>
      <c r="L2" s="2" t="s">
        <v>23</v>
      </c>
      <c r="M2" s="2" t="s">
        <v>22</v>
      </c>
      <c r="N2" s="2" t="s">
        <v>22</v>
      </c>
      <c r="O2" s="2" t="s">
        <v>15</v>
      </c>
      <c r="P2" s="2"/>
      <c r="T2">
        <v>0</v>
      </c>
      <c r="U2">
        <v>10</v>
      </c>
      <c r="V2">
        <v>0</v>
      </c>
    </row>
    <row r="3" spans="1:22" x14ac:dyDescent="0.2">
      <c r="A3">
        <f>ROW() - 2</f>
        <v>1</v>
      </c>
      <c r="B3" s="1" t="s">
        <v>13</v>
      </c>
      <c r="C3" t="s">
        <v>19</v>
      </c>
      <c r="D3">
        <v>443</v>
      </c>
      <c r="E3">
        <v>80</v>
      </c>
      <c r="F3">
        <v>2.5</v>
      </c>
      <c r="G3" t="s">
        <v>10</v>
      </c>
      <c r="H3">
        <v>12</v>
      </c>
      <c r="I3">
        <v>20</v>
      </c>
      <c r="J3">
        <v>14</v>
      </c>
      <c r="K3" s="2" t="s">
        <v>22</v>
      </c>
      <c r="L3" s="2" t="s">
        <v>23</v>
      </c>
      <c r="M3" s="2" t="s">
        <v>22</v>
      </c>
      <c r="N3" s="2" t="s">
        <v>22</v>
      </c>
      <c r="O3" t="s">
        <v>15</v>
      </c>
      <c r="P3" s="4"/>
      <c r="T3">
        <v>0</v>
      </c>
      <c r="U3">
        <v>12</v>
      </c>
      <c r="V3">
        <v>0</v>
      </c>
    </row>
    <row r="4" spans="1:22" x14ac:dyDescent="0.2">
      <c r="A4">
        <v>2</v>
      </c>
      <c r="B4" s="1" t="s">
        <v>13</v>
      </c>
      <c r="C4" t="s">
        <v>19</v>
      </c>
      <c r="D4">
        <v>443</v>
      </c>
      <c r="E4">
        <v>80</v>
      </c>
      <c r="F4">
        <v>2.6</v>
      </c>
      <c r="G4" t="s">
        <v>10</v>
      </c>
      <c r="H4">
        <v>13</v>
      </c>
      <c r="I4">
        <v>7</v>
      </c>
      <c r="J4">
        <v>11</v>
      </c>
      <c r="K4" s="2" t="s">
        <v>22</v>
      </c>
      <c r="L4" s="2" t="s">
        <v>23</v>
      </c>
      <c r="M4" s="2" t="s">
        <v>22</v>
      </c>
      <c r="N4" s="2" t="s">
        <v>22</v>
      </c>
      <c r="O4" t="s">
        <v>15</v>
      </c>
      <c r="P4" s="2"/>
      <c r="T4">
        <v>0</v>
      </c>
      <c r="U4">
        <v>14</v>
      </c>
      <c r="V4">
        <v>0</v>
      </c>
    </row>
    <row r="5" spans="1:22" x14ac:dyDescent="0.2">
      <c r="A5">
        <v>3</v>
      </c>
      <c r="B5" s="1" t="s">
        <v>13</v>
      </c>
      <c r="C5" t="s">
        <v>19</v>
      </c>
      <c r="D5">
        <v>443</v>
      </c>
      <c r="E5">
        <v>80</v>
      </c>
      <c r="F5">
        <v>3.2</v>
      </c>
      <c r="G5" t="s">
        <v>10</v>
      </c>
      <c r="H5">
        <v>13</v>
      </c>
      <c r="I5">
        <v>32</v>
      </c>
      <c r="J5">
        <v>10</v>
      </c>
      <c r="K5" s="2" t="s">
        <v>22</v>
      </c>
      <c r="L5" s="2" t="s">
        <v>23</v>
      </c>
      <c r="M5" s="2" t="s">
        <v>22</v>
      </c>
      <c r="N5" s="2" t="s">
        <v>22</v>
      </c>
      <c r="O5" t="s">
        <v>15</v>
      </c>
      <c r="P5" s="2"/>
      <c r="T5">
        <v>0</v>
      </c>
      <c r="U5">
        <v>16</v>
      </c>
      <c r="V5">
        <v>0</v>
      </c>
    </row>
    <row r="6" spans="1:22" x14ac:dyDescent="0.2">
      <c r="A6" s="1">
        <v>4</v>
      </c>
      <c r="B6" s="1" t="s">
        <v>13</v>
      </c>
      <c r="C6" s="1" t="s">
        <v>19</v>
      </c>
      <c r="D6" s="1">
        <v>443</v>
      </c>
      <c r="E6" s="1">
        <v>80</v>
      </c>
      <c r="F6" s="1">
        <v>3.8</v>
      </c>
      <c r="G6" s="1" t="s">
        <v>10</v>
      </c>
      <c r="H6" s="1">
        <v>14</v>
      </c>
      <c r="I6" s="1">
        <v>42</v>
      </c>
      <c r="J6" s="1">
        <v>8</v>
      </c>
      <c r="K6" s="4" t="s">
        <v>22</v>
      </c>
      <c r="L6" s="4" t="s">
        <v>23</v>
      </c>
      <c r="M6" s="4" t="s">
        <v>22</v>
      </c>
      <c r="N6" s="4" t="s">
        <v>23</v>
      </c>
      <c r="O6" s="1" t="s">
        <v>15</v>
      </c>
      <c r="P6" s="1"/>
      <c r="Q6" s="1"/>
      <c r="R6" s="1"/>
      <c r="S6" s="1"/>
      <c r="T6">
        <v>0</v>
      </c>
      <c r="U6">
        <v>11</v>
      </c>
      <c r="V6">
        <v>0</v>
      </c>
    </row>
    <row r="7" spans="1:22" x14ac:dyDescent="0.2">
      <c r="A7" s="1">
        <v>5</v>
      </c>
      <c r="B7" s="1" t="s">
        <v>19</v>
      </c>
      <c r="C7" s="1" t="s">
        <v>13</v>
      </c>
      <c r="D7" s="1">
        <v>80</v>
      </c>
      <c r="E7" s="1">
        <v>443</v>
      </c>
      <c r="F7" s="1">
        <v>4.9000000000000004</v>
      </c>
      <c r="G7" s="1" t="s">
        <v>10</v>
      </c>
      <c r="H7" s="1">
        <v>43</v>
      </c>
      <c r="I7" s="1">
        <v>66</v>
      </c>
      <c r="J7" s="1">
        <v>8</v>
      </c>
      <c r="K7" s="4" t="s">
        <v>22</v>
      </c>
      <c r="L7" s="4" t="s">
        <v>23</v>
      </c>
      <c r="M7" s="4" t="s">
        <v>22</v>
      </c>
      <c r="N7" s="4" t="s">
        <v>23</v>
      </c>
      <c r="O7" s="1" t="s">
        <v>15</v>
      </c>
      <c r="P7" s="1"/>
      <c r="Q7" s="1"/>
      <c r="R7" s="1"/>
      <c r="S7" s="1"/>
      <c r="T7">
        <v>0</v>
      </c>
      <c r="U7">
        <v>8</v>
      </c>
      <c r="V7">
        <v>0</v>
      </c>
    </row>
    <row r="8" spans="1:22" x14ac:dyDescent="0.2">
      <c r="A8" s="1">
        <v>6</v>
      </c>
      <c r="B8" s="1" t="s">
        <v>13</v>
      </c>
      <c r="C8" s="1" t="s">
        <v>19</v>
      </c>
      <c r="D8" s="1">
        <v>443</v>
      </c>
      <c r="E8" s="1">
        <v>80</v>
      </c>
      <c r="F8" s="1">
        <v>5.0999999999999996</v>
      </c>
      <c r="G8" s="1" t="s">
        <v>10</v>
      </c>
      <c r="H8" s="1">
        <v>67</v>
      </c>
      <c r="I8" s="1">
        <v>43</v>
      </c>
      <c r="J8" s="1">
        <v>2</v>
      </c>
      <c r="K8" s="4" t="s">
        <v>22</v>
      </c>
      <c r="L8" s="4" t="s">
        <v>23</v>
      </c>
      <c r="M8" s="4" t="s">
        <v>22</v>
      </c>
      <c r="N8" s="4" t="s">
        <v>22</v>
      </c>
      <c r="O8" s="1" t="s">
        <v>15</v>
      </c>
      <c r="P8" s="1"/>
      <c r="Q8" s="1"/>
      <c r="T8">
        <v>0</v>
      </c>
      <c r="U8">
        <v>9</v>
      </c>
      <c r="V8">
        <v>0</v>
      </c>
    </row>
    <row r="9" spans="1:22" x14ac:dyDescent="0.2">
      <c r="A9" s="1">
        <v>7</v>
      </c>
      <c r="B9" s="1" t="s">
        <v>13</v>
      </c>
      <c r="C9" s="1" t="s">
        <v>19</v>
      </c>
      <c r="D9" s="1">
        <v>443</v>
      </c>
      <c r="E9" s="1">
        <v>80</v>
      </c>
      <c r="F9" s="1">
        <v>5.2</v>
      </c>
      <c r="G9" s="1" t="s">
        <v>59</v>
      </c>
      <c r="H9" s="1">
        <v>44</v>
      </c>
      <c r="I9" s="1">
        <v>0</v>
      </c>
      <c r="J9" s="1">
        <v>3</v>
      </c>
      <c r="K9" s="4" t="s">
        <v>23</v>
      </c>
      <c r="L9" s="4" t="s">
        <v>22</v>
      </c>
      <c r="M9" s="4" t="s">
        <v>22</v>
      </c>
      <c r="N9" s="4" t="s">
        <v>22</v>
      </c>
      <c r="O9" s="1" t="s">
        <v>60</v>
      </c>
      <c r="P9" s="1"/>
      <c r="Q9" s="1"/>
      <c r="T9">
        <v>0</v>
      </c>
      <c r="U9">
        <v>1</v>
      </c>
      <c r="V9">
        <v>0</v>
      </c>
    </row>
    <row r="10" spans="1:2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4"/>
      <c r="L10" s="4"/>
      <c r="M10" s="4"/>
      <c r="N10" s="4"/>
      <c r="O10" s="1"/>
      <c r="P10" s="1"/>
      <c r="Q10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83C7-7BC5-F44C-A10E-E978FF638D8D}">
  <dimension ref="A1:AJ9"/>
  <sheetViews>
    <sheetView topLeftCell="AC1" zoomScale="202" zoomScaleNormal="202" workbookViewId="0">
      <selection activeCell="AF1" sqref="AF1:AF1048576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3.83203125" customWidth="1"/>
    <col min="31" max="31" width="28.33203125" customWidth="1"/>
    <col min="32" max="32" width="17.33203125" customWidth="1"/>
  </cols>
  <sheetData>
    <row r="1" spans="1:36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62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tr">
        <f>'mocked packets'!B2</f>
        <v>MAC: HOST A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packets'!K2="True", 1, 0)</f>
        <v>0</v>
      </c>
      <c r="L2">
        <f>IF('mocked packets'!L2="True", 1, 0)</f>
        <v>1</v>
      </c>
      <c r="M2">
        <f>IF('mocked packets'!M2="True", 1, 0)</f>
        <v>0</v>
      </c>
      <c r="N2">
        <f>IF('mocked packets'!N2="True", 1, 0)</f>
        <v>0</v>
      </c>
      <c r="O2">
        <f>'mocked packets'!J2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packets'!P2="True",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packets'!K2=TRUE),  1, 0)</f>
        <v>0</v>
      </c>
      <c r="AD2" cm="1">
        <f t="array" ref="AD2">IF(ISNUMBER(SEARCH(tcp,malformed,'mocked packets'!O2)),1,0)</f>
        <v>0</v>
      </c>
      <c r="AE2">
        <v>0</v>
      </c>
      <c r="AF2" s="2">
        <f>'mocked packets'!U2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tr">
        <f>'mocked packets'!B3</f>
        <v>MAC: HOST A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:I5" si="1">H3-G3</f>
        <v>2.5</v>
      </c>
      <c r="J3">
        <f>J2 + 1</f>
        <v>2</v>
      </c>
      <c r="K3" s="1">
        <f>IF('mocked packets'!K3="True", 1+K2, 0+K2)</f>
        <v>0</v>
      </c>
      <c r="L3">
        <f>IF('mocked packets'!L2="True", 1 +L2, 0 + L2)</f>
        <v>2</v>
      </c>
      <c r="M3">
        <f>IF('mocked packets'!M3="True", 1+M2, 0+M2)</f>
        <v>0</v>
      </c>
      <c r="N3">
        <f>IF('mocked packets'!N3="True", 1 + N2, 0 + N2)</f>
        <v>0</v>
      </c>
      <c r="O3">
        <f>'mocked packets'!J3 + O2</f>
        <v>24</v>
      </c>
      <c r="P3">
        <f t="shared" ref="P3:P5" si="2">O3 /J3</f>
        <v>12</v>
      </c>
      <c r="Q3">
        <f>('mocked packets'!J3  -P3 )^2 + Q2</f>
        <v>4</v>
      </c>
      <c r="R3">
        <f t="shared" ref="R3:R5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packets'!P2="True",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packets'!K3=TRUE),  1 + AC2, 0 + AC2)</f>
        <v>0</v>
      </c>
      <c r="AD3" cm="1">
        <f t="array" ref="AD3">IF(ISNUMBER(SEARCH(tcp,malformed,'mocked packets'!O2)),1 + AD2,0 + AD2)</f>
        <v>0</v>
      </c>
      <c r="AE3">
        <v>0</v>
      </c>
      <c r="AF3">
        <f>'mocked packets'!U3 + AF2</f>
        <v>22</v>
      </c>
      <c r="AG3">
        <f>AG2 + 1</f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tr">
        <f>'mocked packets'!B5</f>
        <v>MAC: HOST A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packets'!F2</f>
        <v>0</v>
      </c>
      <c r="H4">
        <f>'mocked packets'!F4</f>
        <v>2.6</v>
      </c>
      <c r="I4">
        <f>H4-G4</f>
        <v>2.6</v>
      </c>
      <c r="J4">
        <f t="shared" ref="J4:J8" si="6">J3 + 1</f>
        <v>3</v>
      </c>
      <c r="K4" s="1">
        <f>IF('mocked packets'!K4="True", 1+K3, 0+K3)</f>
        <v>0</v>
      </c>
      <c r="L4">
        <f>IF('mocked packets'!L3="True", 1 +L3, 0 + L3)</f>
        <v>3</v>
      </c>
      <c r="M4">
        <f>IF('mocked packets'!M4=TRUE, 1+M3, 0+M3)</f>
        <v>0</v>
      </c>
      <c r="N4">
        <f>IF('mocked packets'!N4="True", 1 + N3, 0 + N3)</f>
        <v>0</v>
      </c>
      <c r="O4">
        <f>'mocked packets'!J4 + O3</f>
        <v>35</v>
      </c>
      <c r="P4">
        <f t="shared" si="2"/>
        <v>11.666666666666666</v>
      </c>
      <c r="Q4">
        <f>('mocked packets'!J4  -P4 )^2 + Q3</f>
        <v>4.4444444444444438</v>
      </c>
      <c r="R4">
        <f t="shared" si="3"/>
        <v>1.217161238900369</v>
      </c>
      <c r="S4">
        <f>IF(J4&gt;1, ('mocked packets'!F4) - ('mocked packets'!F3) + S3, 0)</f>
        <v>2.6</v>
      </c>
      <c r="T4">
        <f t="shared" ref="T4:T5" si="7">IF(S4&gt;0,S4/(J4-1), 0)</f>
        <v>1.3</v>
      </c>
      <c r="U4">
        <f>((S4-S3) - T4)^2</f>
        <v>1.44</v>
      </c>
      <c r="V4">
        <f>IF(J4 &gt; 1, (U4/(J4 - 1))^0.5, 0)</f>
        <v>0.84852813742385702</v>
      </c>
      <c r="W4">
        <v>-1</v>
      </c>
      <c r="X4" s="3">
        <f>IF(NOT('mocked packets'!P4), 0 + X3, 1 + 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1.1538461538461537</v>
      </c>
      <c r="AB4">
        <f>IF(I4&gt;0, Z4/I4, 0)</f>
        <v>0</v>
      </c>
      <c r="AC4">
        <f>IF(AND('mocked packets'!B3="MAC: HOST A", 'mocked packets'!K4=TRUE),  1 + AC3, 0 + AC3)</f>
        <v>0</v>
      </c>
      <c r="AD4" cm="1">
        <f t="array" ref="AD4">IF(ISNUMBER(SEARCH(tcp,malformed,'mocked packets'!O3)),1 + AD3,0 + AD3)</f>
        <v>0</v>
      </c>
      <c r="AE4">
        <v>0</v>
      </c>
      <c r="AF4">
        <f>'mocked packets'!U4 + AF3</f>
        <v>36</v>
      </c>
      <c r="AG4">
        <f t="shared" ref="AG4:AG8" si="8">AG3 + 1</f>
        <v>3</v>
      </c>
      <c r="AH4">
        <f t="shared" si="5"/>
        <v>12</v>
      </c>
      <c r="AI4">
        <f t="shared" ref="AI4:AI5" si="9">((AF4 - AF3) - AH4)^2 + AI3</f>
        <v>5</v>
      </c>
      <c r="AJ4">
        <f t="shared" ref="AJ4:AJ5" si="10">(AI4/AG4) ^0.5</f>
        <v>1.2909944487358056</v>
      </c>
    </row>
    <row r="5" spans="1:36" x14ac:dyDescent="0.2">
      <c r="A5">
        <v>3</v>
      </c>
      <c r="B5" s="1" t="str">
        <f>'mocked packets'!B4</f>
        <v>MAC: HOST A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packets'!F2</f>
        <v>0</v>
      </c>
      <c r="H5">
        <f>'mocked packets'!F5</f>
        <v>3.2</v>
      </c>
      <c r="I5">
        <f t="shared" si="1"/>
        <v>3.2</v>
      </c>
      <c r="J5">
        <f t="shared" si="6"/>
        <v>4</v>
      </c>
      <c r="K5" s="1">
        <f>IF('mocked packets'!K5="True", 1+K4, 0+K4)</f>
        <v>0</v>
      </c>
      <c r="L5">
        <f>IF('mocked packets'!L4="True", 1 +L4, 0 + L4)</f>
        <v>4</v>
      </c>
      <c r="M5">
        <f>IF('mocked packets'!M5=TRUE, 1+M4, 0+M4)</f>
        <v>0</v>
      </c>
      <c r="N5">
        <f>IF('mocked packets'!N5="True", 1 + N4, 0 + N4)</f>
        <v>0</v>
      </c>
      <c r="O5">
        <f>'mocked packets'!J5 + O4</f>
        <v>45</v>
      </c>
      <c r="P5">
        <f t="shared" si="2"/>
        <v>11.25</v>
      </c>
      <c r="Q5">
        <f>('mocked packets'!J5  -P5 )^2 + Q4</f>
        <v>6.0069444444444438</v>
      </c>
      <c r="R5">
        <f t="shared" si="3"/>
        <v>1.2254534308210618</v>
      </c>
      <c r="S5">
        <f>IF(J5&gt;1, ('mocked packets'!F5) - ('mocked packets'!F4) + S4, 0)</f>
        <v>3.2</v>
      </c>
      <c r="T5">
        <f t="shared" si="7"/>
        <v>1.0666666666666667</v>
      </c>
      <c r="U5">
        <f>(('mocked packets'!F5 - 'mocked packets'!F4) - T5)^2 + U4</f>
        <v>1.6577777777777776</v>
      </c>
      <c r="V5">
        <f t="shared" ref="V5" si="11">IF(J5 &gt; 1, (U5/(J5 - 1))^0.5, 0)</f>
        <v>0.74336571927456574</v>
      </c>
      <c r="W5">
        <v>-1</v>
      </c>
      <c r="X5" s="3">
        <f>IF(NOT('mocked packets'!P5), 0 + X4, 1 + 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1.25</v>
      </c>
      <c r="AB5">
        <f>IF(I5&gt;0, Z5/I5, 0)</f>
        <v>0</v>
      </c>
      <c r="AC5">
        <f>IF(AND('mocked packets'!B4="MAC: HOST A", 'mocked packets'!K5=TRUE),  1 + AC4, 0 + AC4)</f>
        <v>0</v>
      </c>
      <c r="AD5" cm="1">
        <f t="array" ref="AD5">IF(ISNUMBER(SEARCH(tcp,malformed,'mocked packets'!O4)),1 + AD4,0 + AD4)</f>
        <v>0</v>
      </c>
      <c r="AE5">
        <v>0</v>
      </c>
      <c r="AF5">
        <f>'mocked packets'!U5 + AF4</f>
        <v>52</v>
      </c>
      <c r="AG5">
        <f t="shared" si="8"/>
        <v>4</v>
      </c>
      <c r="AH5">
        <f t="shared" si="5"/>
        <v>13</v>
      </c>
      <c r="AI5">
        <f t="shared" si="9"/>
        <v>14</v>
      </c>
      <c r="AJ5">
        <f t="shared" si="10"/>
        <v>1.8708286933869707</v>
      </c>
    </row>
    <row r="6" spans="1:36" x14ac:dyDescent="0.2">
      <c r="A6">
        <v>4</v>
      </c>
      <c r="B6" s="1" t="str">
        <f>'mocked packets'!B5</f>
        <v>MAC: HOST A</v>
      </c>
      <c r="C6" t="str">
        <f>'mocked packets'!C6</f>
        <v>MAC: HOST B</v>
      </c>
      <c r="D6">
        <f>'mocked packets'!D5</f>
        <v>443</v>
      </c>
      <c r="E6">
        <f>'mocked packets'!E5</f>
        <v>80</v>
      </c>
      <c r="F6" t="str">
        <f>'mocked packets'!G3</f>
        <v>TCP</v>
      </c>
      <c r="G6">
        <f>'mocked packets'!F2</f>
        <v>0</v>
      </c>
      <c r="H6">
        <f>'mocked packets'!F6</f>
        <v>3.8</v>
      </c>
      <c r="I6">
        <f t="shared" ref="I6:I7" si="12">H6-G6</f>
        <v>3.8</v>
      </c>
      <c r="J6">
        <f t="shared" si="6"/>
        <v>5</v>
      </c>
      <c r="K6" s="1">
        <f>IF('mocked packets'!K6="True", 1+K5, 0+K5)</f>
        <v>0</v>
      </c>
      <c r="L6">
        <f>IF('mocked packets'!L5="True", 1 +L5, 0 + L5)</f>
        <v>5</v>
      </c>
      <c r="M6">
        <f>IF('mocked packets'!M6=TRUE, 1+M5, 0+M5)</f>
        <v>0</v>
      </c>
      <c r="N6">
        <f>IF('mocked packets'!N6="True", 1 + N5, 0 + N5)</f>
        <v>1</v>
      </c>
      <c r="O6">
        <f>'mocked packets'!J6 + O5</f>
        <v>53</v>
      </c>
      <c r="P6">
        <f t="shared" ref="P6:P7" si="13">O6 /J6</f>
        <v>10.6</v>
      </c>
      <c r="Q6">
        <f>('mocked packets'!J6  -P6 )^2 + Q5</f>
        <v>12.766944444444441</v>
      </c>
      <c r="R6">
        <f t="shared" ref="R6:R7" si="14">(Q6/J6)^0.5</f>
        <v>1.5979326922273316</v>
      </c>
      <c r="S6">
        <f>IF(J6&gt;1, ('mocked packets'!F6) - ('mocked packets'!F5) + S5, 0)</f>
        <v>3.8</v>
      </c>
      <c r="T6">
        <f t="shared" ref="T6:T7" si="15">IF(S6&gt;0,S6/(J6-1), 0)</f>
        <v>0.95</v>
      </c>
      <c r="U6">
        <f>(('mocked packets'!F6 - 'mocked packets'!F5) - T6)^2 + U5</f>
        <v>1.7802777777777778</v>
      </c>
      <c r="V6">
        <f t="shared" ref="V6:V7" si="16">IF(J6 &gt; 1, (U6/(J6 - 1))^0.5, 0)</f>
        <v>0.66713525198751444</v>
      </c>
      <c r="W6">
        <v>-1</v>
      </c>
      <c r="X6" s="3">
        <f>IF(NOT('mocked packets'!P6), 0 + X5, 1 + X5)</f>
        <v>0</v>
      </c>
      <c r="Y6">
        <f>IF('mocked packets'!B5="MAC: HOST A",  1 + Y5, 0)</f>
        <v>5</v>
      </c>
      <c r="Z6">
        <f>IF('mocked packets'!B5="MAC: HOST B",  1 + Z5, 0 + Z5)</f>
        <v>0</v>
      </c>
      <c r="AA6">
        <f t="shared" ref="AA6" si="17">IF(I6&gt;0, Y6/I6, 0)</f>
        <v>1.3157894736842106</v>
      </c>
      <c r="AB6">
        <f t="shared" ref="AB6:AB7" si="18">IF(I6&gt;0, Z6/I6, 0)</f>
        <v>0</v>
      </c>
      <c r="AC6">
        <f>IF(AND('mocked packets'!B5="MAC: HOST A", 'mocked packets'!K6=TRUE),  1 + AC5, 0 + AC5)</f>
        <v>0</v>
      </c>
      <c r="AD6" cm="1">
        <f t="array" ref="AD6">IF(ISNUMBER(SEARCH(tcp,malformed,'mocked packets'!O5)),1 + AD5,0 + AD5)</f>
        <v>0</v>
      </c>
      <c r="AE6">
        <v>0</v>
      </c>
      <c r="AF6">
        <f>'mocked packets'!U6 + AF5</f>
        <v>63</v>
      </c>
      <c r="AG6">
        <f t="shared" si="8"/>
        <v>5</v>
      </c>
      <c r="AH6">
        <f t="shared" ref="AH6:AH7" si="19" xml:space="preserve"> AF6 /AG6</f>
        <v>12.6</v>
      </c>
      <c r="AI6">
        <f t="shared" ref="AI6:AI7" si="20">((AF6 - AF5) - AH6)^2 + AI5</f>
        <v>16.559999999999999</v>
      </c>
      <c r="AJ6">
        <f t="shared" ref="AJ6:AJ7" si="21">(AI6/AG6) ^0.5</f>
        <v>1.819890106572372</v>
      </c>
    </row>
    <row r="7" spans="1:36" x14ac:dyDescent="0.2">
      <c r="A7">
        <v>5</v>
      </c>
      <c r="B7" s="1" t="str">
        <f>'mocked packets'!B6</f>
        <v>MAC: HOST A</v>
      </c>
      <c r="C7" t="str">
        <f>'mocked packets'!C6</f>
        <v>MAC: HOST B</v>
      </c>
      <c r="D7">
        <f>'mocked packets'!D6</f>
        <v>443</v>
      </c>
      <c r="E7">
        <f>'mocked packets'!E6</f>
        <v>80</v>
      </c>
      <c r="F7" t="str">
        <f>'mocked packets'!G4</f>
        <v>TCP</v>
      </c>
      <c r="G7">
        <f>'mocked packets'!F2</f>
        <v>0</v>
      </c>
      <c r="H7">
        <f>'mocked packets'!F7</f>
        <v>4.9000000000000004</v>
      </c>
      <c r="I7">
        <f t="shared" si="12"/>
        <v>4.9000000000000004</v>
      </c>
      <c r="J7">
        <f t="shared" si="6"/>
        <v>6</v>
      </c>
      <c r="K7" s="1">
        <f>IF('mocked packets'!K7="True", 1+K6, 0+K6)</f>
        <v>0</v>
      </c>
      <c r="L7">
        <f>IF('mocked packets'!L6="True", 1 +L6, 0 + L6)</f>
        <v>6</v>
      </c>
      <c r="M7">
        <f>IF('mocked packets'!M7=TRUE, 1+M6, 0+M6)</f>
        <v>0</v>
      </c>
      <c r="N7">
        <f>IF('mocked packets'!N7="True", 1 + N6, 0 + N6)</f>
        <v>2</v>
      </c>
      <c r="O7">
        <f>'mocked packets'!J7 + O6</f>
        <v>61</v>
      </c>
      <c r="P7">
        <f t="shared" si="13"/>
        <v>10.166666666666666</v>
      </c>
      <c r="Q7">
        <f>('mocked packets'!J7  -P7 )^2 + Q6</f>
        <v>17.461388888888884</v>
      </c>
      <c r="R7">
        <f t="shared" si="14"/>
        <v>1.7059400579977835</v>
      </c>
      <c r="S7">
        <f>IF(J7&gt;1, ('mocked packets'!F7) - ('mocked packets'!F6) + S6, 0)</f>
        <v>4.9000000000000004</v>
      </c>
      <c r="T7">
        <f t="shared" si="15"/>
        <v>0.98000000000000009</v>
      </c>
      <c r="U7">
        <f>(('mocked packets'!F7 - 'mocked packets'!F6) - T7)^2 + U6</f>
        <v>1.794677777777778</v>
      </c>
      <c r="V7">
        <f t="shared" si="16"/>
        <v>0.59911230629620327</v>
      </c>
      <c r="W7">
        <v>67</v>
      </c>
      <c r="X7" s="3">
        <f>IF(NOT('mocked packets'!P7), 0 + X6, 1 + X6)</f>
        <v>0</v>
      </c>
      <c r="Y7">
        <f>IF('mocked packets'!B7="MAC: HOST A",  1 + Y6, 0 + Y6)</f>
        <v>5</v>
      </c>
      <c r="Z7">
        <f>IF('mocked packets'!B7="MAC: HOST B",  1 + Z6, 0 + Z6)</f>
        <v>1</v>
      </c>
      <c r="AA7">
        <f>IF(I7&gt;0, Y7/I7, 0)</f>
        <v>1.0204081632653061</v>
      </c>
      <c r="AB7">
        <f t="shared" si="18"/>
        <v>0.2040816326530612</v>
      </c>
      <c r="AC7">
        <f>IF(AND('mocked packets'!B6="MAC: HOST A", 'mocked packets'!K7=TRUE),  1 + AC6, 0 + AC6)</f>
        <v>0</v>
      </c>
      <c r="AD7" cm="1">
        <f t="array" ref="AD7">IF(ISNUMBER(SEARCH(tcp,malformed,'mocked packets'!O6)),1 + AD6,0 + AD6)</f>
        <v>0</v>
      </c>
      <c r="AE7">
        <v>0</v>
      </c>
      <c r="AF7">
        <f>'mocked packets'!U7 + AF6</f>
        <v>71</v>
      </c>
      <c r="AG7">
        <f t="shared" si="8"/>
        <v>6</v>
      </c>
      <c r="AH7">
        <f t="shared" si="19"/>
        <v>11.833333333333334</v>
      </c>
      <c r="AI7">
        <f t="shared" si="20"/>
        <v>31.254444444444445</v>
      </c>
      <c r="AJ7">
        <f t="shared" si="21"/>
        <v>2.2823396053335432</v>
      </c>
    </row>
    <row r="8" spans="1:36" x14ac:dyDescent="0.2">
      <c r="A8">
        <v>6</v>
      </c>
      <c r="B8" s="1" t="str">
        <f>'mocked packets'!B8</f>
        <v>MAC: HOST A</v>
      </c>
      <c r="C8" t="str">
        <f>'mocked packets'!C6</f>
        <v>MAC: HOST B</v>
      </c>
      <c r="D8">
        <f>'mocked packets'!D8</f>
        <v>443</v>
      </c>
      <c r="E8">
        <f>'mocked packets'!E8</f>
        <v>80</v>
      </c>
      <c r="F8" t="str">
        <f>'mocked packets'!G5</f>
        <v>TCP</v>
      </c>
      <c r="G8">
        <f>'mocked packets'!F2</f>
        <v>0</v>
      </c>
      <c r="H8">
        <f>'mocked packets'!F8</f>
        <v>5.0999999999999996</v>
      </c>
      <c r="I8">
        <f t="shared" ref="I8" si="22">H8-G8</f>
        <v>5.0999999999999996</v>
      </c>
      <c r="J8">
        <f t="shared" si="6"/>
        <v>7</v>
      </c>
      <c r="K8" s="1">
        <f>IF('mocked packets'!K8="True", 1+K7, 0+K7)</f>
        <v>0</v>
      </c>
      <c r="L8">
        <f>IF('mocked packets'!L7="True", 1 +L7, 0 + L7)</f>
        <v>7</v>
      </c>
      <c r="M8">
        <f>IF('mocked packets'!M8=TRUE, 1+M7, 0+M7)</f>
        <v>0</v>
      </c>
      <c r="N8">
        <f>IF('mocked packets'!N8="True", 1 + N7, 0 + N7)</f>
        <v>2</v>
      </c>
      <c r="O8">
        <f>'mocked packets'!J8 + O7</f>
        <v>63</v>
      </c>
      <c r="P8">
        <f t="shared" ref="P8" si="23">O8 /J8</f>
        <v>9</v>
      </c>
      <c r="Q8">
        <f>('mocked packets'!J8  -P8 )^2 + Q7</f>
        <v>66.461388888888877</v>
      </c>
      <c r="R8">
        <f t="shared" ref="R8" si="24">(Q8/J8)^0.5</f>
        <v>3.0813120788041131</v>
      </c>
      <c r="S8">
        <f>IF(J8&gt;1, ('mocked packets'!F8) - ('mocked packets'!F7) + S7, 0)</f>
        <v>5.0999999999999996</v>
      </c>
      <c r="T8">
        <f t="shared" ref="T8" si="25">IF(S8&gt;0,S8/(J8-1), 0)</f>
        <v>0.85</v>
      </c>
      <c r="U8">
        <f>(('mocked packets'!F8 - 'mocked packets'!F7) - T8)^2 + U7</f>
        <v>2.217177777777779</v>
      </c>
      <c r="V8">
        <f t="shared" ref="V8" si="26">IF(J8 &gt; 1, (U8/(J8 - 1))^0.5, 0)</f>
        <v>0.60788948800717868</v>
      </c>
      <c r="W8">
        <v>67</v>
      </c>
      <c r="X8" s="3">
        <f>IF(NOT('mocked packets'!P8), 0 + X7, 1 + X7)</f>
        <v>0</v>
      </c>
      <c r="Y8">
        <f>IF('mocked packets'!B8="MAC: HOST A",  1 + Y7, 0 +Y7)</f>
        <v>6</v>
      </c>
      <c r="Z8">
        <f>IF('mocked packets'!B8="MAC: HOST B",  1 + Z7, 0 + Z7)</f>
        <v>1</v>
      </c>
      <c r="AA8">
        <f t="shared" ref="AA8" si="27">IF(I8&gt;0, Y8/I8, 0)</f>
        <v>1.1764705882352942</v>
      </c>
      <c r="AB8">
        <f t="shared" ref="AB8" si="28">IF(I8&gt;0, Z8/I8, 0)</f>
        <v>0.19607843137254904</v>
      </c>
      <c r="AC8">
        <f>IF(AND('mocked packets'!B7="MAC: HOST A", 'mocked packets'!K8=TRUE),  1 + AC7, 0 + AC7)</f>
        <v>0</v>
      </c>
      <c r="AD8" cm="1">
        <f t="array" ref="AD8">IF(ISNUMBER(SEARCH(tcp,malformed,'mocked packets'!O7)),1 + AD7,0 + AD7)</f>
        <v>0</v>
      </c>
      <c r="AE8">
        <v>0</v>
      </c>
      <c r="AF8">
        <f>'mocked packets'!U8 + AF7</f>
        <v>80</v>
      </c>
      <c r="AG8">
        <f t="shared" si="8"/>
        <v>7</v>
      </c>
      <c r="AH8">
        <f t="shared" ref="AH8" si="29" xml:space="preserve"> AF8 /AG8</f>
        <v>11.428571428571429</v>
      </c>
      <c r="AI8">
        <f t="shared" ref="AI8" si="30">((AF8 - AF7) - AH8)^2 + AI7</f>
        <v>37.152403628117916</v>
      </c>
      <c r="AJ8">
        <f t="shared" ref="AJ8" si="31">(AI8/AG8) ^0.5</f>
        <v>2.30379821872235</v>
      </c>
    </row>
    <row r="9" spans="1:36" x14ac:dyDescent="0.2">
      <c r="A9">
        <v>7</v>
      </c>
      <c r="B9" s="1" t="str">
        <f>'mocked packets'!B8</f>
        <v>MAC: HOST A</v>
      </c>
      <c r="C9" t="str">
        <f>'mocked packets'!C8</f>
        <v>MAC: HOST B</v>
      </c>
      <c r="D9">
        <f>'mocked packets'!D8</f>
        <v>443</v>
      </c>
      <c r="E9">
        <f>'mocked packets'!E8</f>
        <v>80</v>
      </c>
      <c r="F9" t="str">
        <f>'mocked packets'!G9</f>
        <v>SSH</v>
      </c>
      <c r="G9">
        <f>'mocked packets'!F9</f>
        <v>5.2</v>
      </c>
      <c r="H9">
        <f>'mocked packets'!F9</f>
        <v>5.2</v>
      </c>
      <c r="I9">
        <f t="shared" ref="I9" si="32">H9-G9</f>
        <v>0</v>
      </c>
      <c r="J9">
        <f>1</f>
        <v>1</v>
      </c>
      <c r="K9" s="1">
        <f>IF('mocked packets'!K9="True", 1+K8, 0+K8)</f>
        <v>1</v>
      </c>
      <c r="L9">
        <f>IF('mocked packets'!L9="True", 1, 0)</f>
        <v>0</v>
      </c>
      <c r="M9">
        <f>IF('mocked packets'!M9=TRUE, 1+M8, 0+M8)</f>
        <v>0</v>
      </c>
      <c r="N9">
        <f>IF('mocked packets'!N9="True", 1, 0)</f>
        <v>0</v>
      </c>
      <c r="O9">
        <f>'mocked packets'!J9</f>
        <v>3</v>
      </c>
      <c r="P9">
        <f t="shared" ref="P9" si="33">O9 /J9</f>
        <v>3</v>
      </c>
      <c r="Q9">
        <f>('mocked packets'!J9  -P9 )^2</f>
        <v>0</v>
      </c>
      <c r="R9">
        <f t="shared" ref="R9" si="34">(Q9/J9)^0.5</f>
        <v>0</v>
      </c>
      <c r="S9">
        <f>IF(J9&gt;1, ('mocked packets'!F9) - ('mocked packets'!F8) + S8, 0)</f>
        <v>0</v>
      </c>
      <c r="T9">
        <f t="shared" ref="T9" si="35">IF(S9&gt;0,S9/(J9-1), 0)</f>
        <v>0</v>
      </c>
      <c r="U9">
        <v>0</v>
      </c>
      <c r="V9">
        <f t="shared" ref="V9" si="36">IF(J9 &gt; 1, (U9/(J9 - 1))^0.5, 0)</f>
        <v>0</v>
      </c>
      <c r="W9">
        <v>-1</v>
      </c>
      <c r="X9" s="3">
        <f>IF(NOT('mocked packets'!P9), 0 + X8, 1 + X8)</f>
        <v>0</v>
      </c>
      <c r="Y9">
        <f>1</f>
        <v>1</v>
      </c>
      <c r="Z9">
        <v>0</v>
      </c>
      <c r="AA9">
        <f t="shared" ref="AA9" si="37">IF(I9&gt;0, Y9/I9, 0)</f>
        <v>0</v>
      </c>
      <c r="AB9">
        <f t="shared" ref="AB9" si="38">IF(I9&gt;0, Z9/I9, 0)</f>
        <v>0</v>
      </c>
      <c r="AC9">
        <f>1</f>
        <v>1</v>
      </c>
      <c r="AD9" cm="1">
        <f t="array" ref="AD9">IF(ISNUMBER(SEARCH(tcp,malformed,'mocked packets'!O8)),1 + AD8,0 + AD8)</f>
        <v>0</v>
      </c>
      <c r="AE9">
        <v>0</v>
      </c>
      <c r="AF9">
        <f>'mocked packets'!U9</f>
        <v>1</v>
      </c>
      <c r="AG9">
        <f>1</f>
        <v>1</v>
      </c>
      <c r="AH9">
        <f t="shared" ref="AH9" si="39" xml:space="preserve"> AF9 /AG9</f>
        <v>1</v>
      </c>
      <c r="AI9">
        <v>0</v>
      </c>
      <c r="AJ9">
        <f t="shared" ref="AJ9" si="40">(AI9/AG9) ^0.5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2193-E28E-0B41-A188-835F630FAF1B}">
  <dimension ref="A1:AJ9"/>
  <sheetViews>
    <sheetView tabSelected="1" topLeftCell="AC1" zoomScale="202" zoomScaleNormal="202" workbookViewId="0">
      <selection activeCell="AF1" sqref="AF1:AF1048576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13.6640625" customWidth="1"/>
    <col min="31" max="31" width="28.33203125" customWidth="1"/>
    <col min="32" max="32" width="15.6640625" customWidth="1"/>
  </cols>
  <sheetData>
    <row r="1" spans="1:36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62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">
        <v>58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packets'!K2="True", 1, 0)</f>
        <v>0</v>
      </c>
      <c r="L2">
        <f>IF('mocked packets'!L2="True", 1, 0)</f>
        <v>1</v>
      </c>
      <c r="M2">
        <f>IF('mocked packets'!M2="True", 1, 0)</f>
        <v>0</v>
      </c>
      <c r="N2">
        <f>IF('mocked packets'!N2="True", 1, 0)</f>
        <v>0</v>
      </c>
      <c r="O2">
        <f>'mocked packets'!J2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packets'!P2="True",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packets'!K2=TRUE),  1, 0)</f>
        <v>0</v>
      </c>
      <c r="AD2" cm="1">
        <f t="array" ref="AD2">IF(ISNUMBER(SEARCH(tcp,malformed,'mocked packets'!O2)),1,0)</f>
        <v>0</v>
      </c>
      <c r="AE2">
        <v>0</v>
      </c>
      <c r="AF2" s="1">
        <f>'mocked packets'!U2</f>
        <v>10</v>
      </c>
      <c r="AG2" s="1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">
        <v>58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" si="1">H3-G3</f>
        <v>2.5</v>
      </c>
      <c r="J3">
        <f>J2 + 1</f>
        <v>2</v>
      </c>
      <c r="K3" s="1">
        <f>IF('mocked packets'!K3="True", 1+K2, 0+K2)</f>
        <v>0</v>
      </c>
      <c r="L3">
        <f>IF('mocked packets'!L2="True", 1 +L2, 0 + L2)</f>
        <v>2</v>
      </c>
      <c r="M3">
        <f>IF('mocked packets'!M3="True", 1+M2, 0+M2)</f>
        <v>0</v>
      </c>
      <c r="N3">
        <f>IF('mocked packets'!N3="True", 1 + N2, 0 + N2)</f>
        <v>0</v>
      </c>
      <c r="O3">
        <f>'mocked packets'!J3 + O2</f>
        <v>24</v>
      </c>
      <c r="P3">
        <f t="shared" ref="P3:P9" si="2">O3 /J3</f>
        <v>12</v>
      </c>
      <c r="Q3">
        <f>('mocked packets'!J3  -P3 )^2 + Q2</f>
        <v>4</v>
      </c>
      <c r="R3">
        <f t="shared" ref="R3:R9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packets'!P2="True",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packets'!K3=TRUE),  1 + AC2, 0 + AC2)</f>
        <v>0</v>
      </c>
      <c r="AD3" cm="1">
        <f t="array" ref="AD3">IF(ISNUMBER(SEARCH(tcp,malformed,'mocked packets'!O2)),1 + AD2,0 + AD2)</f>
        <v>0</v>
      </c>
      <c r="AE3">
        <v>0</v>
      </c>
      <c r="AF3" s="1">
        <f>'mocked packets'!U3 + AF2</f>
        <v>22</v>
      </c>
      <c r="AG3" s="1">
        <v>2</v>
      </c>
      <c r="AH3">
        <f t="shared" ref="AH3:AH8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">
        <v>58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packets'!F2</f>
        <v>0</v>
      </c>
      <c r="H4">
        <f>'mocked packets'!F4</f>
        <v>2.6</v>
      </c>
      <c r="I4">
        <f>H4-G4</f>
        <v>2.6</v>
      </c>
      <c r="J4">
        <f t="shared" ref="J4:J8" si="6">J3 + 1</f>
        <v>3</v>
      </c>
      <c r="K4" s="1">
        <f>IF('mocked packets'!K4="True", 1+K3, 0+K3)</f>
        <v>0</v>
      </c>
      <c r="L4">
        <f>IF('mocked packets'!L3="True", 1 +L3, 0 + L3)</f>
        <v>3</v>
      </c>
      <c r="M4">
        <f>IF('mocked packets'!M4=TRUE, 1+M3, 0+M3)</f>
        <v>0</v>
      </c>
      <c r="N4">
        <f>IF('mocked packets'!N4="True", 1 + N3, 0 + N3)</f>
        <v>0</v>
      </c>
      <c r="O4">
        <f>'mocked packets'!J4 + O3</f>
        <v>35</v>
      </c>
      <c r="P4">
        <f t="shared" si="2"/>
        <v>11.666666666666666</v>
      </c>
      <c r="Q4">
        <f>('mocked packets'!J4  -P4 )^2 + Q3</f>
        <v>4.4444444444444438</v>
      </c>
      <c r="R4">
        <f t="shared" si="3"/>
        <v>1.217161238900369</v>
      </c>
      <c r="S4">
        <f>IF(J4&gt;1, ('mocked packets'!F4) - ('mocked packets'!F3) + S3, 0)</f>
        <v>2.6</v>
      </c>
      <c r="T4">
        <f t="shared" ref="T4:T9" si="7">IF(S4&gt;0,S4/(J4-1), 0)</f>
        <v>1.3</v>
      </c>
      <c r="U4">
        <f>((S4-S3) - T4)^2</f>
        <v>1.44</v>
      </c>
      <c r="V4">
        <f>IF(J4 &gt; 1, (U4/(J4 - 1))^0.5, 0)</f>
        <v>0.84852813742385702</v>
      </c>
      <c r="W4">
        <v>-1</v>
      </c>
      <c r="X4" s="3">
        <f>IF(NOT('mocked packets'!P4), 0 + X3, 1 + 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1.1538461538461537</v>
      </c>
      <c r="AB4">
        <f>IF(I4&gt;0, Z4/I4, 0)</f>
        <v>0</v>
      </c>
      <c r="AC4">
        <f>IF(AND('mocked packets'!B3="MAC: HOST A", 'mocked packets'!K4=TRUE),  1 + AC3, 0 + AC3)</f>
        <v>0</v>
      </c>
      <c r="AD4" cm="1">
        <f t="array" ref="AD4">IF(ISNUMBER(SEARCH(tcp,malformed,'mocked packets'!O3)),1 + AD3,0 + AD3)</f>
        <v>0</v>
      </c>
      <c r="AE4">
        <v>0</v>
      </c>
      <c r="AF4" s="1">
        <f>'mocked packets'!U4 + AF3</f>
        <v>36</v>
      </c>
      <c r="AG4" s="1">
        <v>3</v>
      </c>
      <c r="AH4">
        <f t="shared" si="5"/>
        <v>12</v>
      </c>
      <c r="AI4">
        <f t="shared" ref="AI4:AI8" si="8">((AF4 - AF3) - AH4)^2 + AI3</f>
        <v>5</v>
      </c>
      <c r="AJ4">
        <f t="shared" ref="AJ4:AJ9" si="9">(AI4/AG4) ^0.5</f>
        <v>1.2909944487358056</v>
      </c>
    </row>
    <row r="5" spans="1:36" x14ac:dyDescent="0.2">
      <c r="A5">
        <v>3</v>
      </c>
      <c r="B5" s="1" t="s">
        <v>58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packets'!F2</f>
        <v>0</v>
      </c>
      <c r="H5">
        <f>'mocked packets'!F5</f>
        <v>3.2</v>
      </c>
      <c r="I5">
        <f t="shared" ref="I5:I9" si="10">H5-G5</f>
        <v>3.2</v>
      </c>
      <c r="J5">
        <f t="shared" si="6"/>
        <v>4</v>
      </c>
      <c r="K5" s="1">
        <f>IF('mocked packets'!K5="True", 1+K4, 0+K4)</f>
        <v>0</v>
      </c>
      <c r="L5">
        <f>IF('mocked packets'!L4="True", 1 +L4, 0 + L4)</f>
        <v>4</v>
      </c>
      <c r="M5">
        <f>IF('mocked packets'!M5=TRUE, 1+M4, 0+M4)</f>
        <v>0</v>
      </c>
      <c r="N5">
        <f>IF('mocked packets'!N5="True", 1 + N4, 0 + N4)</f>
        <v>0</v>
      </c>
      <c r="O5">
        <f>'mocked packets'!J5 + O4</f>
        <v>45</v>
      </c>
      <c r="P5">
        <f t="shared" si="2"/>
        <v>11.25</v>
      </c>
      <c r="Q5">
        <f>('mocked packets'!J5  -P5 )^2 + Q4</f>
        <v>6.0069444444444438</v>
      </c>
      <c r="R5">
        <f t="shared" si="3"/>
        <v>1.2254534308210618</v>
      </c>
      <c r="S5">
        <f>IF(J5&gt;1, ('mocked packets'!F5) - ('mocked packets'!F4) + S4, 0)</f>
        <v>3.2</v>
      </c>
      <c r="T5">
        <f t="shared" si="7"/>
        <v>1.0666666666666667</v>
      </c>
      <c r="U5">
        <f>(('mocked packets'!F5 - 'mocked packets'!F4) - T5)^2 + U4</f>
        <v>1.6577777777777776</v>
      </c>
      <c r="V5">
        <f t="shared" ref="V5:V9" si="11">IF(J5 &gt; 1, (U5/(J5 - 1))^0.5, 0)</f>
        <v>0.74336571927456574</v>
      </c>
      <c r="W5">
        <v>-1</v>
      </c>
      <c r="X5" s="3">
        <f>IF(NOT('mocked packets'!P5), 0 + X4, 1 + 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1.25</v>
      </c>
      <c r="AB5">
        <f>IF(I5&gt;0, Z5/I5, 0)</f>
        <v>0</v>
      </c>
      <c r="AC5">
        <f>IF(AND('mocked packets'!B4="MAC: HOST A", 'mocked packets'!K5=TRUE),  1 + AC4, 0 + AC4)</f>
        <v>0</v>
      </c>
      <c r="AD5" cm="1">
        <f t="array" ref="AD5">IF(ISNUMBER(SEARCH(tcp,malformed,'mocked packets'!O4)),1 + AD4,0 + AD4)</f>
        <v>0</v>
      </c>
      <c r="AE5">
        <v>0</v>
      </c>
      <c r="AF5" s="1">
        <f>'mocked packets'!U5 + AF4</f>
        <v>52</v>
      </c>
      <c r="AG5" s="1">
        <v>4</v>
      </c>
      <c r="AH5">
        <f t="shared" si="5"/>
        <v>13</v>
      </c>
      <c r="AI5">
        <f t="shared" si="8"/>
        <v>14</v>
      </c>
      <c r="AJ5">
        <f t="shared" si="9"/>
        <v>1.8708286933869707</v>
      </c>
    </row>
    <row r="6" spans="1:36" x14ac:dyDescent="0.2">
      <c r="A6">
        <v>4</v>
      </c>
      <c r="B6" s="1" t="s">
        <v>58</v>
      </c>
      <c r="C6" t="str">
        <f>'mocked packets'!C6</f>
        <v>MAC: HOST B</v>
      </c>
      <c r="D6">
        <f>'mocked packets'!D5</f>
        <v>443</v>
      </c>
      <c r="E6">
        <f>'mocked packets'!E5</f>
        <v>80</v>
      </c>
      <c r="F6" t="str">
        <f>'mocked packets'!G3</f>
        <v>TCP</v>
      </c>
      <c r="G6">
        <f>'mocked packets'!F2</f>
        <v>0</v>
      </c>
      <c r="H6">
        <f>'mocked packets'!F6</f>
        <v>3.8</v>
      </c>
      <c r="I6">
        <f t="shared" si="10"/>
        <v>3.8</v>
      </c>
      <c r="J6">
        <f t="shared" si="6"/>
        <v>5</v>
      </c>
      <c r="K6" s="1">
        <f>IF('mocked packets'!K6="True", 1+K5, 0+K5)</f>
        <v>0</v>
      </c>
      <c r="L6">
        <f>IF('mocked packets'!L5="True", 1 +L5, 0 + L5)</f>
        <v>5</v>
      </c>
      <c r="M6">
        <f>IF('mocked packets'!M6=TRUE, 1+M5, 0+M5)</f>
        <v>0</v>
      </c>
      <c r="N6">
        <f>IF('mocked packets'!N6="True", 1 + N5, 0 + N5)</f>
        <v>1</v>
      </c>
      <c r="O6">
        <f>'mocked packets'!J6 + O5</f>
        <v>53</v>
      </c>
      <c r="P6">
        <f t="shared" si="2"/>
        <v>10.6</v>
      </c>
      <c r="Q6">
        <f>('mocked packets'!J6  -P6 )^2 + Q5</f>
        <v>12.766944444444441</v>
      </c>
      <c r="R6">
        <f t="shared" si="3"/>
        <v>1.5979326922273316</v>
      </c>
      <c r="S6">
        <f>IF(J6&gt;1, ('mocked packets'!F6) - ('mocked packets'!F5) + S5, 0)</f>
        <v>3.8</v>
      </c>
      <c r="T6">
        <f t="shared" si="7"/>
        <v>0.95</v>
      </c>
      <c r="U6">
        <f>(('mocked packets'!F6 - 'mocked packets'!F5) - T6)^2 + U5</f>
        <v>1.7802777777777778</v>
      </c>
      <c r="V6">
        <f t="shared" si="11"/>
        <v>0.66713525198751444</v>
      </c>
      <c r="W6">
        <v>-1</v>
      </c>
      <c r="X6" s="3">
        <f>IF(NOT('mocked packets'!P6), 0 + X5, 1 + X5)</f>
        <v>0</v>
      </c>
      <c r="Y6">
        <f>IF('mocked packets'!B5="MAC: HOST A",  1 + Y5, 0)</f>
        <v>5</v>
      </c>
      <c r="Z6">
        <f>IF('mocked packets'!B5="MAC: HOST B",  1 + Z5, 0 + Z5)</f>
        <v>0</v>
      </c>
      <c r="AA6">
        <f t="shared" ref="AA6:AA9" si="12">IF(I6&gt;0, Y6/I6, 0)</f>
        <v>1.3157894736842106</v>
      </c>
      <c r="AB6">
        <f t="shared" ref="AB6:AB9" si="13">IF(I6&gt;0, Z6/I6, 0)</f>
        <v>0</v>
      </c>
      <c r="AC6">
        <f>IF(AND('mocked packets'!B5="MAC: HOST A", 'mocked packets'!K6=TRUE),  1 + AC5, 0 + AC5)</f>
        <v>0</v>
      </c>
      <c r="AD6" cm="1">
        <f t="array" ref="AD6">IF(ISNUMBER(SEARCH(tcp,malformed,'mocked packets'!O5)),1 + AD5,0 + AD5)</f>
        <v>0</v>
      </c>
      <c r="AE6">
        <v>0</v>
      </c>
      <c r="AF6">
        <f>'mocked packets'!U6 + AF5</f>
        <v>63</v>
      </c>
      <c r="AG6">
        <f t="shared" ref="AG6:AG8" si="14">AG5 + 1</f>
        <v>5</v>
      </c>
      <c r="AH6">
        <f t="shared" si="5"/>
        <v>12.6</v>
      </c>
      <c r="AI6">
        <f t="shared" si="8"/>
        <v>16.559999999999999</v>
      </c>
      <c r="AJ6">
        <f t="shared" si="9"/>
        <v>1.819890106572372</v>
      </c>
    </row>
    <row r="7" spans="1:36" x14ac:dyDescent="0.2">
      <c r="A7">
        <v>5</v>
      </c>
      <c r="B7" s="1" t="s">
        <v>58</v>
      </c>
      <c r="C7" t="str">
        <f>'mocked packets'!C6</f>
        <v>MAC: HOST B</v>
      </c>
      <c r="D7">
        <f>'mocked packets'!D6</f>
        <v>443</v>
      </c>
      <c r="E7">
        <f>'mocked packets'!E6</f>
        <v>80</v>
      </c>
      <c r="F7" t="str">
        <f>'mocked packets'!G4</f>
        <v>TCP</v>
      </c>
      <c r="G7">
        <f>'mocked packets'!F2</f>
        <v>0</v>
      </c>
      <c r="H7">
        <f>'mocked packets'!F7</f>
        <v>4.9000000000000004</v>
      </c>
      <c r="I7">
        <f t="shared" si="10"/>
        <v>4.9000000000000004</v>
      </c>
      <c r="J7">
        <f t="shared" si="6"/>
        <v>6</v>
      </c>
      <c r="K7" s="1">
        <f>IF('mocked packets'!K7="True", 1+K6, 0+K6)</f>
        <v>0</v>
      </c>
      <c r="L7">
        <f>IF('mocked packets'!L6="True", 1 +L6, 0 + L6)</f>
        <v>6</v>
      </c>
      <c r="M7">
        <f>IF('mocked packets'!M7=TRUE, 1+M6, 0+M6)</f>
        <v>0</v>
      </c>
      <c r="N7">
        <f>IF('mocked packets'!N7="True", 1 + N6, 0 + N6)</f>
        <v>2</v>
      </c>
      <c r="O7">
        <f>'mocked packets'!J7 + O6</f>
        <v>61</v>
      </c>
      <c r="P7">
        <f t="shared" si="2"/>
        <v>10.166666666666666</v>
      </c>
      <c r="Q7">
        <f>('mocked packets'!J7  -P7 )^2 + Q6</f>
        <v>17.461388888888884</v>
      </c>
      <c r="R7">
        <f t="shared" si="3"/>
        <v>1.7059400579977835</v>
      </c>
      <c r="S7">
        <f>IF(J7&gt;1, ('mocked packets'!F7) - ('mocked packets'!F6) + S6, 0)</f>
        <v>4.9000000000000004</v>
      </c>
      <c r="T7">
        <f t="shared" si="7"/>
        <v>0.98000000000000009</v>
      </c>
      <c r="U7">
        <f>(('mocked packets'!F7 - 'mocked packets'!F6) - T7)^2 + U6</f>
        <v>1.794677777777778</v>
      </c>
      <c r="V7">
        <f t="shared" si="11"/>
        <v>0.59911230629620327</v>
      </c>
      <c r="W7">
        <v>-1</v>
      </c>
      <c r="X7" s="3">
        <f>IF(NOT('mocked packets'!P7), 0 + X6, 1 + X6)</f>
        <v>0</v>
      </c>
      <c r="Y7">
        <f>IF('mocked packets'!B7="MAC: HOST A",  1 + Y6, 0 + Y6)</f>
        <v>5</v>
      </c>
      <c r="Z7">
        <f>IF('mocked packets'!B7="MAC: HOST B",  1 + Z6, 0 + Z6)</f>
        <v>1</v>
      </c>
      <c r="AA7">
        <f t="shared" si="12"/>
        <v>1.0204081632653061</v>
      </c>
      <c r="AB7">
        <f t="shared" si="13"/>
        <v>0.2040816326530612</v>
      </c>
      <c r="AC7">
        <f>IF(AND('mocked packets'!B6="MAC: HOST A", 'mocked packets'!K7=TRUE),  1 + AC6, 0 + AC6)</f>
        <v>0</v>
      </c>
      <c r="AD7" cm="1">
        <f t="array" ref="AD7">IF(ISNUMBER(SEARCH(tcp,malformed,'mocked packets'!O6)),1 + AD6,0 + AD6)</f>
        <v>0</v>
      </c>
      <c r="AE7">
        <v>0</v>
      </c>
      <c r="AF7">
        <f>'mocked packets'!U7 + AF6</f>
        <v>71</v>
      </c>
      <c r="AG7">
        <f t="shared" si="14"/>
        <v>6</v>
      </c>
      <c r="AH7">
        <f t="shared" si="5"/>
        <v>11.833333333333334</v>
      </c>
      <c r="AI7">
        <f t="shared" si="8"/>
        <v>31.254444444444445</v>
      </c>
      <c r="AJ7">
        <f t="shared" si="9"/>
        <v>2.2823396053335432</v>
      </c>
    </row>
    <row r="8" spans="1:36" x14ac:dyDescent="0.2">
      <c r="A8">
        <v>6</v>
      </c>
      <c r="B8" s="1" t="s">
        <v>58</v>
      </c>
      <c r="C8" t="str">
        <f>'mocked packets'!C8</f>
        <v>MAC: HOST B</v>
      </c>
      <c r="D8">
        <f>'mocked packets'!D8</f>
        <v>443</v>
      </c>
      <c r="E8">
        <f>'mocked packets'!E8</f>
        <v>80</v>
      </c>
      <c r="F8" t="str">
        <f>'mocked packets'!G5</f>
        <v>TCP</v>
      </c>
      <c r="G8">
        <f>'mocked packets'!F2</f>
        <v>0</v>
      </c>
      <c r="H8">
        <f>'mocked packets'!F8</f>
        <v>5.0999999999999996</v>
      </c>
      <c r="I8">
        <f t="shared" si="10"/>
        <v>5.0999999999999996</v>
      </c>
      <c r="J8">
        <f t="shared" si="6"/>
        <v>7</v>
      </c>
      <c r="K8" s="1">
        <f>IF('mocked packets'!K8="True", 1+K7, 0+K7)</f>
        <v>0</v>
      </c>
      <c r="L8">
        <f>IF('mocked packets'!L7="True", 1 +L7, 0 + L7)</f>
        <v>7</v>
      </c>
      <c r="M8">
        <f>IF('mocked packets'!M8=TRUE, 1+M7, 0+M7)</f>
        <v>0</v>
      </c>
      <c r="N8">
        <f>IF('mocked packets'!N8="True", 1 + N7, 0 + N7)</f>
        <v>2</v>
      </c>
      <c r="O8">
        <f>'mocked packets'!J8 + O7</f>
        <v>63</v>
      </c>
      <c r="P8">
        <f t="shared" si="2"/>
        <v>9</v>
      </c>
      <c r="Q8">
        <f>('mocked packets'!J8  -P8 )^2 + Q7</f>
        <v>66.461388888888877</v>
      </c>
      <c r="R8">
        <f t="shared" si="3"/>
        <v>3.0813120788041131</v>
      </c>
      <c r="S8">
        <f>IF(J8&gt;1, ('mocked packets'!F8) - ('mocked packets'!F7) + S7, 0)</f>
        <v>5.0999999999999996</v>
      </c>
      <c r="T8">
        <f t="shared" si="7"/>
        <v>0.85</v>
      </c>
      <c r="U8">
        <f>(('mocked packets'!F8 - 'mocked packets'!F7) - T8)^2 + U7</f>
        <v>2.217177777777779</v>
      </c>
      <c r="V8">
        <f t="shared" si="11"/>
        <v>0.60788948800717868</v>
      </c>
      <c r="W8">
        <v>-1</v>
      </c>
      <c r="X8" s="3">
        <f>IF(NOT('mocked packets'!P8), 0 + X7, 1 + X7)</f>
        <v>0</v>
      </c>
      <c r="Y8">
        <f>IF('mocked packets'!B8="MAC: HOST A",  1 + Y7, 0 +Y7)</f>
        <v>6</v>
      </c>
      <c r="Z8">
        <f>IF('mocked packets'!B8="MAC: HOST B",  1 + Z7, 0 + Z7)</f>
        <v>1</v>
      </c>
      <c r="AA8">
        <f t="shared" si="12"/>
        <v>1.1764705882352942</v>
      </c>
      <c r="AB8">
        <f t="shared" si="13"/>
        <v>0.19607843137254904</v>
      </c>
      <c r="AC8">
        <f>IF(AND('mocked packets'!B7="MAC: HOST A", 'mocked packets'!K8=TRUE),  1 + AC7, 0 + AC7)</f>
        <v>0</v>
      </c>
      <c r="AD8" cm="1">
        <f t="array" ref="AD8">IF(ISNUMBER(SEARCH(tcp,malformed,'mocked packets'!O7)),1 + AD7,0 + AD7)</f>
        <v>0</v>
      </c>
      <c r="AE8">
        <v>0</v>
      </c>
      <c r="AF8">
        <f>'mocked packets'!U8 + AF7</f>
        <v>80</v>
      </c>
      <c r="AG8">
        <f t="shared" si="14"/>
        <v>7</v>
      </c>
      <c r="AH8">
        <f t="shared" si="5"/>
        <v>11.428571428571429</v>
      </c>
      <c r="AI8">
        <f t="shared" si="8"/>
        <v>37.152403628117916</v>
      </c>
      <c r="AJ8">
        <f t="shared" si="9"/>
        <v>2.30379821872235</v>
      </c>
    </row>
    <row r="9" spans="1:36" x14ac:dyDescent="0.2">
      <c r="A9">
        <v>7</v>
      </c>
      <c r="B9" s="1" t="s">
        <v>58</v>
      </c>
      <c r="C9" t="str">
        <f>'mocked packets'!C8</f>
        <v>MAC: HOST B</v>
      </c>
      <c r="D9">
        <f>'mocked packets'!D8</f>
        <v>443</v>
      </c>
      <c r="E9">
        <f>'mocked packets'!E8</f>
        <v>80</v>
      </c>
      <c r="F9" t="str">
        <f>'mocked packets'!G9</f>
        <v>SSH</v>
      </c>
      <c r="G9">
        <f>'mocked packets'!F9</f>
        <v>5.2</v>
      </c>
      <c r="H9">
        <f>'mocked packets'!F9</f>
        <v>5.2</v>
      </c>
      <c r="I9">
        <f t="shared" si="10"/>
        <v>0</v>
      </c>
      <c r="J9">
        <f>1</f>
        <v>1</v>
      </c>
      <c r="K9" s="1">
        <f>IF('mocked packets'!K9="True", 1+K8, 0+K8)</f>
        <v>1</v>
      </c>
      <c r="L9">
        <f>IF('mocked packets'!L9="True", 1, 0)</f>
        <v>0</v>
      </c>
      <c r="M9">
        <f>IF('mocked packets'!M9=TRUE, 1+M8, 0+M8)</f>
        <v>0</v>
      </c>
      <c r="N9">
        <f>IF('mocked packets'!N9="True", 1, 0)</f>
        <v>0</v>
      </c>
      <c r="O9">
        <f>'mocked packets'!J9</f>
        <v>3</v>
      </c>
      <c r="P9">
        <f t="shared" si="2"/>
        <v>3</v>
      </c>
      <c r="Q9">
        <f>('mocked packets'!J9  -P9 )^2</f>
        <v>0</v>
      </c>
      <c r="R9">
        <f t="shared" si="3"/>
        <v>0</v>
      </c>
      <c r="S9">
        <f>IF(J9&gt;1, ('mocked packets'!F9) - ('mocked packets'!F8) + S8, 0)</f>
        <v>0</v>
      </c>
      <c r="T9">
        <f t="shared" si="7"/>
        <v>0</v>
      </c>
      <c r="U9">
        <v>0</v>
      </c>
      <c r="V9">
        <f t="shared" si="11"/>
        <v>0</v>
      </c>
      <c r="W9">
        <v>-1</v>
      </c>
      <c r="X9" s="3">
        <f>IF(NOT('mocked packets'!P9), 0 + X8, 1 + X8)</f>
        <v>0</v>
      </c>
      <c r="Y9">
        <f>1</f>
        <v>1</v>
      </c>
      <c r="Z9">
        <v>0</v>
      </c>
      <c r="AA9">
        <f t="shared" si="12"/>
        <v>0</v>
      </c>
      <c r="AB9">
        <f t="shared" si="13"/>
        <v>0</v>
      </c>
      <c r="AC9">
        <f>1</f>
        <v>1</v>
      </c>
      <c r="AD9" cm="1">
        <f t="array" ref="AD9">IF(ISNUMBER(SEARCH(tcp,malformed,'mocked packets'!O8)),1 + AD8,0 + AD8)</f>
        <v>0</v>
      </c>
      <c r="AE9">
        <v>0</v>
      </c>
      <c r="AF9">
        <f>'mocked packets'!U9</f>
        <v>1</v>
      </c>
      <c r="AG9">
        <f>1</f>
        <v>1</v>
      </c>
      <c r="AH9">
        <f xml:space="preserve"> AF9 /AG9</f>
        <v>1</v>
      </c>
      <c r="AI9">
        <v>0</v>
      </c>
      <c r="AJ9">
        <f t="shared" si="9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mocked packets</vt:lpstr>
      <vt:lpstr>Channel conversation</vt:lpstr>
      <vt:lpstr>Destination port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Fan Guo</dc:creator>
  <cp:lastModifiedBy>Xin Fan Guo</cp:lastModifiedBy>
  <dcterms:created xsi:type="dcterms:W3CDTF">2024-05-05T20:48:54Z</dcterms:created>
  <dcterms:modified xsi:type="dcterms:W3CDTF">2024-09-02T10:35:41Z</dcterms:modified>
</cp:coreProperties>
</file>