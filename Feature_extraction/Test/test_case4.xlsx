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fanguo/Desktop/Repos/Knowledge_Driven_and_Context_Awere_detection/FE_V2/Test/"/>
    </mc:Choice>
  </mc:AlternateContent>
  <xr:revisionPtr revIDLastSave="0" documentId="13_ncr:1_{8B1E0B66-63C2-EE42-830C-F775E073AEDC}" xr6:coauthVersionLast="47" xr6:coauthVersionMax="47" xr10:uidLastSave="{00000000-0000-0000-0000-000000000000}"/>
  <bookViews>
    <workbookView xWindow="25520" yWindow="3420" windowWidth="30240" windowHeight="17660" activeTab="2" xr2:uid="{45553426-698C-534C-B5C9-1E7492643028}"/>
  </bookViews>
  <sheets>
    <sheet name="mocked packets" sheetId="1" r:id="rId1"/>
    <sheet name="Channel conversation" sheetId="2" r:id="rId2"/>
    <sheet name="Destination port convers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6" i="4" l="1"/>
  <c r="S7" i="4" s="1"/>
  <c r="AG7" i="4"/>
  <c r="AF7" i="4"/>
  <c r="Y7" i="4"/>
  <c r="O7" i="4"/>
  <c r="P7" i="4" s="1"/>
  <c r="J7" i="4"/>
  <c r="R7" i="4" s="1"/>
  <c r="G7" i="4"/>
  <c r="F7" i="4"/>
  <c r="E7" i="4"/>
  <c r="D7" i="4"/>
  <c r="C7" i="4"/>
  <c r="G6" i="4"/>
  <c r="N6" i="4"/>
  <c r="N7" i="4" s="1"/>
  <c r="M6" i="4"/>
  <c r="M7" i="4" s="1"/>
  <c r="L6" i="4"/>
  <c r="L7" i="4" s="1"/>
  <c r="F6" i="4"/>
  <c r="E6" i="4"/>
  <c r="D6" i="4"/>
  <c r="C6" i="4"/>
  <c r="B7" i="2"/>
  <c r="AF7" i="2"/>
  <c r="AH7" i="2" s="1"/>
  <c r="O7" i="2"/>
  <c r="P7" i="2" s="1"/>
  <c r="H7" i="2"/>
  <c r="G7" i="2"/>
  <c r="AH6" i="2"/>
  <c r="AF6" i="2"/>
  <c r="O6" i="2"/>
  <c r="P6" i="2" s="1"/>
  <c r="H6" i="2"/>
  <c r="G6" i="2"/>
  <c r="B6" i="2"/>
  <c r="X2" i="4"/>
  <c r="X3" i="4" s="1"/>
  <c r="X4" i="4" s="1"/>
  <c r="X5" i="4" s="1"/>
  <c r="X6" i="4" s="1"/>
  <c r="X7" i="4" s="1"/>
  <c r="G5" i="4"/>
  <c r="G4" i="4"/>
  <c r="G3" i="4"/>
  <c r="E5" i="4"/>
  <c r="E4" i="4"/>
  <c r="E3" i="4"/>
  <c r="C5" i="4"/>
  <c r="C4" i="4"/>
  <c r="C3" i="4"/>
  <c r="X5" i="2"/>
  <c r="X4" i="2"/>
  <c r="X3" i="2"/>
  <c r="X2" i="2"/>
  <c r="G5" i="2"/>
  <c r="G4" i="2"/>
  <c r="I4" i="2" s="1"/>
  <c r="G3" i="2"/>
  <c r="E5" i="2"/>
  <c r="E4" i="2"/>
  <c r="E3" i="2"/>
  <c r="C5" i="2"/>
  <c r="C4" i="2"/>
  <c r="C3" i="2"/>
  <c r="H5" i="4"/>
  <c r="F5" i="4"/>
  <c r="D5" i="4"/>
  <c r="H4" i="4"/>
  <c r="F4" i="4"/>
  <c r="D4" i="4"/>
  <c r="AG3" i="4"/>
  <c r="AG4" i="4" s="1"/>
  <c r="AG5" i="4" s="1"/>
  <c r="AG6" i="4" s="1"/>
  <c r="Z3" i="4"/>
  <c r="Z4" i="4" s="1"/>
  <c r="Z5" i="4" s="1"/>
  <c r="Z6" i="4" s="1"/>
  <c r="Z7" i="4" s="1"/>
  <c r="J3" i="4"/>
  <c r="H3" i="4"/>
  <c r="F3" i="4"/>
  <c r="D3" i="4"/>
  <c r="A3" i="4"/>
  <c r="AJ2" i="4"/>
  <c r="AF2" i="4"/>
  <c r="AF3" i="4" s="1"/>
  <c r="AD2" i="4" a="1"/>
  <c r="AD2" i="4" s="1"/>
  <c r="AD3" i="4" s="1" a="1"/>
  <c r="AD3" i="4" s="1"/>
  <c r="AD4" i="4" s="1" a="1"/>
  <c r="AD4" i="4" s="1"/>
  <c r="AD5" i="4" s="1" a="1"/>
  <c r="AD5" i="4" s="1"/>
  <c r="AD6" i="4" s="1" a="1"/>
  <c r="AD6" i="4" s="1"/>
  <c r="AD7" i="4" s="1" a="1"/>
  <c r="AD7" i="4" s="1"/>
  <c r="AC2" i="4"/>
  <c r="AC3" i="4" s="1"/>
  <c r="AC4" i="4" s="1"/>
  <c r="AC5" i="4" s="1"/>
  <c r="AC6" i="4" s="1"/>
  <c r="AC7" i="4" s="1"/>
  <c r="Z2" i="4"/>
  <c r="Y2" i="4"/>
  <c r="Y3" i="4" s="1"/>
  <c r="V2" i="4"/>
  <c r="S2" i="4"/>
  <c r="O2" i="4"/>
  <c r="O3" i="4" s="1"/>
  <c r="P3" i="4" s="1"/>
  <c r="N2" i="4"/>
  <c r="N3" i="4" s="1"/>
  <c r="N4" i="4" s="1"/>
  <c r="N5" i="4" s="1"/>
  <c r="M2" i="4"/>
  <c r="M3" i="4" s="1"/>
  <c r="M4" i="4" s="1"/>
  <c r="M5" i="4" s="1"/>
  <c r="L2" i="4"/>
  <c r="L3" i="4" s="1"/>
  <c r="L4" i="4" s="1"/>
  <c r="L5" i="4" s="1"/>
  <c r="K2" i="4"/>
  <c r="K3" i="4" s="1"/>
  <c r="K4" i="4" s="1"/>
  <c r="K5" i="4" s="1"/>
  <c r="K6" i="4" s="1"/>
  <c r="K7" i="4" s="1"/>
  <c r="G2" i="4"/>
  <c r="F2" i="4"/>
  <c r="E2" i="4"/>
  <c r="D2" i="4"/>
  <c r="C2" i="4"/>
  <c r="A2" i="4"/>
  <c r="AF2" i="2"/>
  <c r="AF3" i="2" s="1"/>
  <c r="AF4" i="2" s="1"/>
  <c r="AF5" i="2" s="1"/>
  <c r="AD2" i="2" a="1"/>
  <c r="AD2" i="2" s="1"/>
  <c r="AD3" i="2" s="1" a="1"/>
  <c r="AD3" i="2" s="1"/>
  <c r="AD4" i="2" s="1" a="1"/>
  <c r="AD4" i="2" s="1"/>
  <c r="AD5" i="2" s="1" a="1"/>
  <c r="AD5" i="2" s="1"/>
  <c r="AC2" i="2"/>
  <c r="AC3" i="2" s="1"/>
  <c r="AC4" i="2" s="1"/>
  <c r="AC5" i="2" s="1"/>
  <c r="Z2" i="2"/>
  <c r="Z3" i="2" s="1"/>
  <c r="Z4" i="2" s="1"/>
  <c r="Z5" i="2" s="1"/>
  <c r="Y2" i="2"/>
  <c r="Y3" i="2" s="1"/>
  <c r="Y4" i="2" s="1"/>
  <c r="Y5" i="2" s="1"/>
  <c r="S2" i="2"/>
  <c r="O2" i="2"/>
  <c r="O3" i="2" s="1"/>
  <c r="N2" i="2"/>
  <c r="N3" i="2" s="1"/>
  <c r="N4" i="2" s="1"/>
  <c r="N5" i="2" s="1"/>
  <c r="M2" i="2"/>
  <c r="M3" i="2" s="1"/>
  <c r="M4" i="2" s="1"/>
  <c r="M5" i="2" s="1"/>
  <c r="L2" i="2"/>
  <c r="L3" i="2" s="1"/>
  <c r="L4" i="2" s="1"/>
  <c r="L5" i="2" s="1"/>
  <c r="K2" i="2"/>
  <c r="K3" i="2" s="1"/>
  <c r="K4" i="2" s="1"/>
  <c r="K5" i="2" s="1"/>
  <c r="H5" i="2"/>
  <c r="H4" i="2"/>
  <c r="H3" i="2"/>
  <c r="G2" i="2"/>
  <c r="C2" i="2"/>
  <c r="B5" i="2"/>
  <c r="B4" i="2"/>
  <c r="B3" i="2"/>
  <c r="B2" i="2"/>
  <c r="D5" i="2"/>
  <c r="D4" i="2"/>
  <c r="D3" i="2"/>
  <c r="D2" i="2"/>
  <c r="E2" i="2"/>
  <c r="F5" i="2"/>
  <c r="F4" i="2"/>
  <c r="F3" i="2"/>
  <c r="F2" i="2"/>
  <c r="AG3" i="2"/>
  <c r="AG4" i="2" s="1"/>
  <c r="AG5" i="2" s="1"/>
  <c r="J3" i="2"/>
  <c r="J4" i="2" s="1"/>
  <c r="J5" i="2" s="1"/>
  <c r="A3" i="2"/>
  <c r="AJ2" i="2"/>
  <c r="V2" i="2"/>
  <c r="A2" i="2"/>
  <c r="S3" i="2" l="1"/>
  <c r="T3" i="2" s="1"/>
  <c r="U3" i="2" s="1"/>
  <c r="V3" i="2" s="1"/>
  <c r="AB7" i="4"/>
  <c r="AA7" i="4"/>
  <c r="AH7" i="4"/>
  <c r="I5" i="2"/>
  <c r="AB5" i="2" s="1"/>
  <c r="I4" i="4"/>
  <c r="O4" i="4"/>
  <c r="O5" i="4" s="1"/>
  <c r="O6" i="4" s="1"/>
  <c r="I3" i="4"/>
  <c r="AA3" i="4" s="1"/>
  <c r="S4" i="2"/>
  <c r="S5" i="2" s="1"/>
  <c r="T5" i="2" s="1"/>
  <c r="O4" i="2"/>
  <c r="O5" i="2" s="1"/>
  <c r="P5" i="2" s="1"/>
  <c r="P3" i="2"/>
  <c r="I5" i="4"/>
  <c r="I3" i="2"/>
  <c r="AA3" i="2" s="1"/>
  <c r="AH2" i="4"/>
  <c r="Y4" i="4"/>
  <c r="Y5" i="4" s="1"/>
  <c r="Y6" i="4" s="1"/>
  <c r="T2" i="4"/>
  <c r="U2" i="4" s="1"/>
  <c r="AB4" i="4"/>
  <c r="AH3" i="4"/>
  <c r="AI3" i="4" s="1"/>
  <c r="AJ3" i="4" s="1"/>
  <c r="AF4" i="4"/>
  <c r="P2" i="4"/>
  <c r="Q2" i="4" s="1"/>
  <c r="S3" i="4"/>
  <c r="J4" i="4"/>
  <c r="AB4" i="2"/>
  <c r="AA4" i="2"/>
  <c r="AH3" i="2"/>
  <c r="AI3" i="2" s="1"/>
  <c r="AJ3" i="2" s="1"/>
  <c r="T2" i="2"/>
  <c r="U2" i="2" s="1"/>
  <c r="AH2" i="2"/>
  <c r="P2" i="2"/>
  <c r="Q2" i="2" s="1"/>
  <c r="AB3" i="4" l="1"/>
  <c r="AB5" i="4"/>
  <c r="I6" i="4"/>
  <c r="AB6" i="4" s="1"/>
  <c r="P4" i="4"/>
  <c r="AA5" i="2"/>
  <c r="AA6" i="4"/>
  <c r="P4" i="2"/>
  <c r="AB3" i="2"/>
  <c r="AA5" i="4"/>
  <c r="R2" i="4"/>
  <c r="Q3" i="4"/>
  <c r="R3" i="4" s="1"/>
  <c r="AA4" i="4"/>
  <c r="Q3" i="2"/>
  <c r="R3" i="2" s="1"/>
  <c r="AH4" i="4"/>
  <c r="AI4" i="4" s="1"/>
  <c r="AJ4" i="4" s="1"/>
  <c r="AF5" i="4"/>
  <c r="AF6" i="4" s="1"/>
  <c r="AH6" i="4" s="1"/>
  <c r="J5" i="4"/>
  <c r="J6" i="4" s="1"/>
  <c r="S4" i="4"/>
  <c r="T3" i="4"/>
  <c r="U3" i="4" s="1"/>
  <c r="V3" i="4" s="1"/>
  <c r="R2" i="2"/>
  <c r="T4" i="2"/>
  <c r="U4" i="2" s="1"/>
  <c r="U5" i="2" s="1"/>
  <c r="AH4" i="2"/>
  <c r="AI4" i="2" s="1"/>
  <c r="AJ4" i="2" s="1"/>
  <c r="Q4" i="4" l="1"/>
  <c r="R4" i="4" s="1"/>
  <c r="P6" i="4"/>
  <c r="Q4" i="2"/>
  <c r="Q5" i="2" s="1"/>
  <c r="T4" i="4"/>
  <c r="U4" i="4" s="1"/>
  <c r="V4" i="4" s="1"/>
  <c r="S5" i="4"/>
  <c r="S6" i="4" s="1"/>
  <c r="P5" i="4"/>
  <c r="Q5" i="4" s="1"/>
  <c r="AH5" i="4"/>
  <c r="AI5" i="4" s="1"/>
  <c r="R4" i="2"/>
  <c r="V4" i="2"/>
  <c r="V5" i="2"/>
  <c r="AH5" i="2"/>
  <c r="AI5" i="2" s="1"/>
  <c r="AJ5" i="2" s="1"/>
  <c r="R5" i="2"/>
  <c r="AJ5" i="4" l="1"/>
  <c r="AI6" i="4"/>
  <c r="AI7" i="4" s="1"/>
  <c r="R5" i="4"/>
  <c r="Q6" i="4"/>
  <c r="T5" i="4"/>
  <c r="T6" i="4" s="1"/>
  <c r="U5" i="4"/>
  <c r="V5" i="4" l="1"/>
  <c r="V6" i="4" s="1"/>
  <c r="U6" i="4"/>
  <c r="R6" i="4"/>
  <c r="T7" i="4"/>
  <c r="AJ6" i="4"/>
  <c r="AJ7" i="4"/>
  <c r="A3" i="1"/>
  <c r="A2" i="1"/>
  <c r="V7" i="4" l="1"/>
  <c r="AB2" i="2" l="1"/>
  <c r="H2" i="2"/>
  <c r="I2" i="2"/>
  <c r="AA2" i="2"/>
  <c r="AA2" i="4"/>
  <c r="H2" i="4"/>
  <c r="I2" i="4"/>
  <c r="AB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<sst xmlns="http://schemas.openxmlformats.org/spreadsheetml/2006/main" count="151" uniqueCount="62">
  <si>
    <t>Index</t>
  </si>
  <si>
    <t>source_port</t>
  </si>
  <si>
    <t>destination_port</t>
  </si>
  <si>
    <t>timestamp</t>
  </si>
  <si>
    <t>protocol</t>
  </si>
  <si>
    <t>sequence_number</t>
  </si>
  <si>
    <t>syn_flag</t>
  </si>
  <si>
    <t>ack_flag</t>
  </si>
  <si>
    <t>rst_flag</t>
  </si>
  <si>
    <t>fin_flag</t>
  </si>
  <si>
    <t>source_mac</t>
  </si>
  <si>
    <t>destination_mac</t>
  </si>
  <si>
    <t>MAC: HOST A</t>
  </si>
  <si>
    <t>protocol_hierarchy</t>
  </si>
  <si>
    <t>frame_len</t>
  </si>
  <si>
    <t>MAC: HOST B</t>
  </si>
  <si>
    <t>tcp_keep_alive</t>
  </si>
  <si>
    <t>False</t>
  </si>
  <si>
    <t>UDP</t>
  </si>
  <si>
    <t>eth:ethertype:ip:udp</t>
  </si>
  <si>
    <t>http_domain</t>
  </si>
  <si>
    <t>https_domain</t>
  </si>
  <si>
    <t>dns_domain_name</t>
  </si>
  <si>
    <t>ssh_encrypted</t>
  </si>
  <si>
    <t>ttl</t>
  </si>
  <si>
    <t>src_mac</t>
  </si>
  <si>
    <t>dst_mac</t>
  </si>
  <si>
    <t>src_port</t>
  </si>
  <si>
    <t>dst_port</t>
  </si>
  <si>
    <t>start_ts</t>
  </si>
  <si>
    <t>last_ts</t>
  </si>
  <si>
    <t>duration</t>
  </si>
  <si>
    <t>total_packet_count</t>
  </si>
  <si>
    <t>syn_flag_count</t>
  </si>
  <si>
    <t>ack_flag_count</t>
  </si>
  <si>
    <t>rst_flag_count</t>
  </si>
  <si>
    <t>fin_flag_count</t>
  </si>
  <si>
    <t>packet_size</t>
  </si>
  <si>
    <t>packet_size_mean</t>
  </si>
  <si>
    <t>packet_size_ssr</t>
  </si>
  <si>
    <t>packet_size_std</t>
  </si>
  <si>
    <t>iat_time</t>
  </si>
  <si>
    <t>iat_time_mean</t>
  </si>
  <si>
    <t>iat_time_ssr</t>
  </si>
  <si>
    <t>iat_time_std</t>
  </si>
  <si>
    <t>keep_alive_count</t>
  </si>
  <si>
    <t>inbound_packet_count</t>
  </si>
  <si>
    <t>outbound_packet_count</t>
  </si>
  <si>
    <t>inbound_packet_rate</t>
  </si>
  <si>
    <t>outbound_packet_rate</t>
  </si>
  <si>
    <t>connection_count</t>
  </si>
  <si>
    <t>invalid_checksums_count</t>
  </si>
  <si>
    <t>num_connection_per_domain</t>
  </si>
  <si>
    <t>ttl_packets</t>
  </si>
  <si>
    <t>ttl_mean</t>
  </si>
  <si>
    <t>ttl_ssr</t>
  </si>
  <si>
    <t>ttl_std</t>
  </si>
  <si>
    <t>MAC: HOST C</t>
  </si>
  <si>
    <t>MAC: HOST A-443</t>
  </si>
  <si>
    <t>MAC: HOST A-443|MAC: HOST C-443</t>
  </si>
  <si>
    <t>ex_ack_number</t>
  </si>
  <si>
    <t>tcp_window_size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</si>
</sst>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B760-526A-DF4F-B825-F9394300E2C9}">
  <dimension ref="A1:U7"/>
  <sheetViews>
    <sheetView topLeftCell="I1" zoomScale="130" zoomScaleNormal="130" workbookViewId="0">
      <selection activeCell="S6" sqref="S6:S7"/>
    </sheetView>
  </sheetViews>
  <sheetFormatPr baseColWidth="10" defaultRowHeight="16" x14ac:dyDescent="0.2"/>
  <cols>
    <col min="2" max="2" width="16.5" customWidth="1"/>
    <col min="3" max="3" width="14.83203125" customWidth="1"/>
    <col min="4" max="4" width="12.6640625" customWidth="1"/>
    <col min="5" max="5" width="17.83203125" customWidth="1"/>
    <col min="8" max="8" width="35.6640625" customWidth="1"/>
    <col min="9" max="9" width="26.83203125" customWidth="1"/>
    <col min="14" max="14" width="25.33203125" customWidth="1"/>
    <col min="15" max="15" width="17.1640625" customWidth="1"/>
    <col min="16" max="16" width="9.5" bestFit="1" customWidth="1"/>
    <col min="17" max="17" width="11.5" bestFit="1" customWidth="1"/>
    <col min="18" max="18" width="15.6640625" customWidth="1"/>
  </cols>
  <sheetData>
    <row r="1" spans="1:21" x14ac:dyDescent="0.2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14</v>
      </c>
      <c r="J1" t="s">
        <v>6</v>
      </c>
      <c r="K1" t="s">
        <v>7</v>
      </c>
      <c r="L1" t="s">
        <v>8</v>
      </c>
      <c r="M1" t="s">
        <v>9</v>
      </c>
      <c r="N1" t="s">
        <v>13</v>
      </c>
      <c r="O1" t="s">
        <v>16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61</v>
      </c>
    </row>
    <row r="2" spans="1:21" x14ac:dyDescent="0.2">
      <c r="A2">
        <f>ROW() - 2</f>
        <v>0</v>
      </c>
      <c r="B2" s="1" t="s">
        <v>12</v>
      </c>
      <c r="C2" t="s">
        <v>15</v>
      </c>
      <c r="D2">
        <v>443</v>
      </c>
      <c r="E2">
        <v>80</v>
      </c>
      <c r="F2">
        <v>0</v>
      </c>
      <c r="G2" t="s">
        <v>18</v>
      </c>
      <c r="I2">
        <v>10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19</v>
      </c>
      <c r="O2" s="2"/>
      <c r="S2">
        <v>0</v>
      </c>
      <c r="T2">
        <v>10</v>
      </c>
      <c r="U2">
        <v>0</v>
      </c>
    </row>
    <row r="3" spans="1:21" x14ac:dyDescent="0.2">
      <c r="A3">
        <f>ROW() - 2</f>
        <v>1</v>
      </c>
      <c r="B3" s="1" t="s">
        <v>12</v>
      </c>
      <c r="C3" t="s">
        <v>15</v>
      </c>
      <c r="D3">
        <v>443</v>
      </c>
      <c r="E3">
        <v>80</v>
      </c>
      <c r="F3">
        <v>0.6</v>
      </c>
      <c r="G3" t="s">
        <v>18</v>
      </c>
      <c r="I3">
        <v>14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19</v>
      </c>
      <c r="O3" s="4"/>
      <c r="S3">
        <v>0</v>
      </c>
      <c r="T3">
        <v>12</v>
      </c>
      <c r="U3">
        <v>0</v>
      </c>
    </row>
    <row r="4" spans="1:21" x14ac:dyDescent="0.2">
      <c r="A4">
        <v>2</v>
      </c>
      <c r="B4" s="1" t="s">
        <v>12</v>
      </c>
      <c r="C4" t="s">
        <v>15</v>
      </c>
      <c r="D4">
        <v>443</v>
      </c>
      <c r="E4">
        <v>80</v>
      </c>
      <c r="F4">
        <v>0.8</v>
      </c>
      <c r="G4" t="s">
        <v>18</v>
      </c>
      <c r="I4">
        <v>11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19</v>
      </c>
      <c r="O4" s="2"/>
      <c r="S4">
        <v>0</v>
      </c>
      <c r="T4">
        <v>14</v>
      </c>
      <c r="U4">
        <v>0</v>
      </c>
    </row>
    <row r="5" spans="1:21" x14ac:dyDescent="0.2">
      <c r="A5">
        <v>3</v>
      </c>
      <c r="B5" s="1" t="s">
        <v>12</v>
      </c>
      <c r="C5" t="s">
        <v>15</v>
      </c>
      <c r="D5">
        <v>443</v>
      </c>
      <c r="E5">
        <v>80</v>
      </c>
      <c r="F5">
        <v>1.3</v>
      </c>
      <c r="G5" t="s">
        <v>18</v>
      </c>
      <c r="I5">
        <v>10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19</v>
      </c>
      <c r="O5" s="2"/>
      <c r="S5">
        <v>0</v>
      </c>
      <c r="T5">
        <v>16</v>
      </c>
      <c r="U5">
        <v>0</v>
      </c>
    </row>
    <row r="6" spans="1:21" x14ac:dyDescent="0.2">
      <c r="A6">
        <v>4</v>
      </c>
      <c r="B6" s="1" t="s">
        <v>57</v>
      </c>
      <c r="C6" t="s">
        <v>15</v>
      </c>
      <c r="D6">
        <v>443</v>
      </c>
      <c r="E6">
        <v>80</v>
      </c>
      <c r="F6">
        <v>2.1</v>
      </c>
      <c r="G6" t="s">
        <v>18</v>
      </c>
      <c r="I6">
        <v>8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19</v>
      </c>
      <c r="O6" s="2"/>
      <c r="S6">
        <v>0</v>
      </c>
      <c r="T6">
        <v>7</v>
      </c>
      <c r="U6">
        <v>0</v>
      </c>
    </row>
    <row r="7" spans="1:21" x14ac:dyDescent="0.2">
      <c r="A7">
        <v>5</v>
      </c>
      <c r="B7" s="1" t="s">
        <v>12</v>
      </c>
      <c r="C7" t="s">
        <v>15</v>
      </c>
      <c r="D7">
        <v>443</v>
      </c>
      <c r="E7">
        <v>80</v>
      </c>
      <c r="F7">
        <v>65</v>
      </c>
      <c r="G7" t="s">
        <v>18</v>
      </c>
      <c r="I7">
        <v>6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19</v>
      </c>
      <c r="O7" s="2"/>
      <c r="S7">
        <v>0</v>
      </c>
      <c r="T7">
        <v>4</v>
      </c>
      <c r="U7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83C7-7BC5-F44C-A10E-E978FF638D8D}">
  <dimension ref="A1:AL7"/>
  <sheetViews>
    <sheetView topLeftCell="AC1" zoomScale="202" zoomScaleNormal="202" workbookViewId="0">
      <selection activeCell="AF1" sqref="AF1:AF1048576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25.83203125" customWidth="1"/>
    <col min="31" max="31" width="13.6640625" customWidth="1"/>
    <col min="32" max="32" width="31" customWidth="1"/>
  </cols>
  <sheetData>
    <row r="1" spans="1:38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60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24</v>
      </c>
      <c r="AG1" t="s">
        <v>53</v>
      </c>
      <c r="AH1" s="1" t="s">
        <v>54</v>
      </c>
      <c r="AI1" s="1" t="s">
        <v>55</v>
      </c>
      <c r="AJ1" s="1" t="s">
        <v>56</v>
      </c>
      <c r="AK1" s="1"/>
      <c r="AL1" s="1"/>
    </row>
    <row r="2" spans="1:38" x14ac:dyDescent="0.2">
      <c r="A2">
        <f>ROW() - 2</f>
        <v>0</v>
      </c>
      <c r="B2" s="1" t="str">
        <f>'mocked packets'!B2</f>
        <v>MAC: HOST A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UDP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packets'!J2="True", 1, 0)</f>
        <v>0</v>
      </c>
      <c r="L2">
        <f>IF('mocked packets'!K2="True", 1, 0)</f>
        <v>0</v>
      </c>
      <c r="M2">
        <f>IF('mocked packets'!L2="True", 1, 0)</f>
        <v>0</v>
      </c>
      <c r="N2">
        <f>IF('mocked packets'!M2="True", 1, 0)</f>
        <v>0</v>
      </c>
      <c r="O2">
        <f>'mocked packets'!I2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packets'!O2="True",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packets'!J2=TRUE),  1, 0)</f>
        <v>0</v>
      </c>
      <c r="AD2" cm="1">
        <f t="array" ref="AD2">IF(ISNUMBER(SEARCH(tcp,malformed,'mocked packets'!N2)),1,0)</f>
        <v>0</v>
      </c>
      <c r="AE2">
        <v>0</v>
      </c>
      <c r="AF2" s="2">
        <f>'mocked packets'!T2</f>
        <v>10</v>
      </c>
      <c r="AG2">
        <v>1</v>
      </c>
      <c r="AH2">
        <f xml:space="preserve"> AF2 /AG2</f>
        <v>10</v>
      </c>
      <c r="AI2">
        <v>0</v>
      </c>
      <c r="AJ2">
        <f>(AI2/AG2)^2</f>
        <v>0</v>
      </c>
      <c r="AK2" s="1"/>
      <c r="AL2" s="1"/>
    </row>
    <row r="3" spans="1:38" x14ac:dyDescent="0.2">
      <c r="A3">
        <f>ROW() - 2</f>
        <v>1</v>
      </c>
      <c r="B3" s="1" t="str">
        <f>'mocked packets'!B3</f>
        <v>MAC: HOST A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packets'!G3</f>
        <v>UDP</v>
      </c>
      <c r="G3">
        <f>'mocked packets'!F2</f>
        <v>0</v>
      </c>
      <c r="H3">
        <f>'mocked packets'!F3</f>
        <v>0.6</v>
      </c>
      <c r="I3">
        <f t="shared" ref="I3" si="1">H3-G3</f>
        <v>0.6</v>
      </c>
      <c r="J3">
        <f>J2 + 1</f>
        <v>2</v>
      </c>
      <c r="K3" s="1">
        <f>IF('mocked packets'!J3="True", 1+K2, 0+K2)</f>
        <v>0</v>
      </c>
      <c r="L3">
        <f>IF('mocked packets'!K2="True", 1 +L2, 0 + L2)</f>
        <v>0</v>
      </c>
      <c r="M3">
        <f>IF('mocked packets'!L3="True", 1+M2, 0+M2)</f>
        <v>0</v>
      </c>
      <c r="N3">
        <f>IF('mocked packets'!M3="True", 1 + N2, 0 + N2)</f>
        <v>0</v>
      </c>
      <c r="O3">
        <f>'mocked packets'!I3 + O2</f>
        <v>24</v>
      </c>
      <c r="P3">
        <f t="shared" ref="P3:P5" si="2">O3 /J3</f>
        <v>12</v>
      </c>
      <c r="Q3">
        <f>('mocked packets'!I3  -P3 )^2 + Q2</f>
        <v>4</v>
      </c>
      <c r="R3">
        <f t="shared" ref="R3:R5" si="3">(Q3/J3)^0.5</f>
        <v>1.4142135623730951</v>
      </c>
      <c r="S3">
        <f>IF(J3&gt;1, ('mocked packets'!F3) - ('mocked packets'!F2) + S2, 0)</f>
        <v>0.6</v>
      </c>
      <c r="T3">
        <f>IF(S3&gt;0,S3/(J3-1), 0)</f>
        <v>0.6</v>
      </c>
      <c r="U3">
        <f t="shared" ref="U3" si="4">(S3 -T3)^2</f>
        <v>0</v>
      </c>
      <c r="V3">
        <f t="shared" si="0"/>
        <v>0</v>
      </c>
      <c r="W3">
        <v>-1</v>
      </c>
      <c r="X3">
        <f>IF('mocked packets'!O3="True", 1, 0)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3.3333333333333335</v>
      </c>
      <c r="AB3">
        <f>IF(I3&gt;0, Z3/I3, 0)</f>
        <v>0</v>
      </c>
      <c r="AC3">
        <f>IF(AND('mocked packets'!B2="MAC: HOST A", 'mocked packets'!J3=TRUE),  1 + AC2, 0 + AC2)</f>
        <v>0</v>
      </c>
      <c r="AD3" cm="1">
        <f t="array" ref="AD3">IF(ISNUMBER(SEARCH(tcp,malformed,'mocked packets'!N2)),1 + AD2,0 + AD2)</f>
        <v>0</v>
      </c>
      <c r="AE3">
        <v>0</v>
      </c>
      <c r="AF3">
        <f>'mocked packets'!T3 + AF2</f>
        <v>22</v>
      </c>
      <c r="AG3">
        <f>AG2 + 1</f>
        <v>2</v>
      </c>
      <c r="AH3">
        <f t="shared" ref="AH3:AH6" si="5" xml:space="preserve"> AF3 /AG3</f>
        <v>11</v>
      </c>
      <c r="AI3">
        <f>((AF3 - AF2) - AH3)^2 + AI2</f>
        <v>1</v>
      </c>
      <c r="AJ3">
        <f>(AI3/AG3) ^0.5</f>
        <v>0.70710678118654757</v>
      </c>
      <c r="AK3" s="1"/>
      <c r="AL3" s="1"/>
    </row>
    <row r="4" spans="1:38" x14ac:dyDescent="0.2">
      <c r="A4">
        <v>2</v>
      </c>
      <c r="B4" s="1" t="str">
        <f>'mocked packets'!B4</f>
        <v>MAC: HOST A</v>
      </c>
      <c r="C4" t="str">
        <f>'mocked packets'!C4</f>
        <v>MAC: HOST B</v>
      </c>
      <c r="D4">
        <f>'mocked packets'!D4</f>
        <v>443</v>
      </c>
      <c r="E4">
        <f>'mocked packets'!E4</f>
        <v>80</v>
      </c>
      <c r="F4" t="str">
        <f>'mocked packets'!G4</f>
        <v>UDP</v>
      </c>
      <c r="G4">
        <f>'mocked packets'!F2</f>
        <v>0</v>
      </c>
      <c r="H4">
        <f>'mocked packets'!F4</f>
        <v>0.8</v>
      </c>
      <c r="I4">
        <f>H4-G4</f>
        <v>0.8</v>
      </c>
      <c r="J4">
        <f t="shared" ref="J4:J5" si="6">J3 + 1</f>
        <v>3</v>
      </c>
      <c r="K4" s="1">
        <f>IF('mocked packets'!J4="True", 1+K3, 0+K3)</f>
        <v>0</v>
      </c>
      <c r="L4">
        <f>IF('mocked packets'!K3="True", 1 +L3, 0 + L3)</f>
        <v>0</v>
      </c>
      <c r="M4">
        <f>IF('mocked packets'!L4="True", 1+M3, 0+M3)</f>
        <v>0</v>
      </c>
      <c r="N4">
        <f>IF('mocked packets'!M4="True", 1 + N3, 0 + N3)</f>
        <v>0</v>
      </c>
      <c r="O4">
        <f>'mocked packets'!I4 + O3</f>
        <v>35</v>
      </c>
      <c r="P4">
        <f t="shared" si="2"/>
        <v>11.666666666666666</v>
      </c>
      <c r="Q4">
        <f>('mocked packets'!I4  -P4 )^2 + Q3</f>
        <v>4.4444444444444438</v>
      </c>
      <c r="R4">
        <f t="shared" si="3"/>
        <v>1.217161238900369</v>
      </c>
      <c r="S4">
        <f>IF(J4&gt;1, ('mocked packets'!F4) - ('mocked packets'!F3) + S3, 0)</f>
        <v>0.8</v>
      </c>
      <c r="T4">
        <f t="shared" ref="T4:T5" si="7">IF(S4&gt;0,S4/(J4-1), 0)</f>
        <v>0.4</v>
      </c>
      <c r="U4">
        <f>((S4-S3) - T4)^2</f>
        <v>3.999999999999998E-2</v>
      </c>
      <c r="V4">
        <f>IF(J4 &gt; 1, (U4/(J4 - 1))^0.5, 0)</f>
        <v>0.14142135623730948</v>
      </c>
      <c r="W4">
        <v>-1</v>
      </c>
      <c r="X4">
        <f>IF('mocked packets'!O4="True", 1, 0)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3.75</v>
      </c>
      <c r="AB4">
        <f>IF(I4&gt;0, Z4/I4, 0)</f>
        <v>0</v>
      </c>
      <c r="AC4">
        <f>IF(AND('mocked packets'!B3="MAC: HOST A", 'mocked packets'!J4=TRUE),  1 + AC3, 0 + AC3)</f>
        <v>0</v>
      </c>
      <c r="AD4" cm="1">
        <f t="array" ref="AD4">IF(ISNUMBER(SEARCH(tcp,malformed,'mocked packets'!N3)),1 + AD3,0 + AD3)</f>
        <v>0</v>
      </c>
      <c r="AE4">
        <v>0</v>
      </c>
      <c r="AF4">
        <f>'mocked packets'!T4 + AF3</f>
        <v>36</v>
      </c>
      <c r="AG4">
        <f t="shared" ref="AG4:AG5" si="8">AG3 + 1</f>
        <v>3</v>
      </c>
      <c r="AH4">
        <f t="shared" si="5"/>
        <v>12</v>
      </c>
      <c r="AI4">
        <f t="shared" ref="AI4:AI5" si="9">((AF4 - AF3) - AH4)^2 + AI3</f>
        <v>5</v>
      </c>
      <c r="AJ4">
        <f t="shared" ref="AJ4:AJ5" si="10">(AI4/AG4) ^0.5</f>
        <v>1.2909944487358056</v>
      </c>
      <c r="AK4" s="1"/>
      <c r="AL4" s="1"/>
    </row>
    <row r="5" spans="1:38" x14ac:dyDescent="0.2">
      <c r="A5">
        <v>3</v>
      </c>
      <c r="B5" s="1" t="str">
        <f>'mocked packets'!B5</f>
        <v>MAC: HOST A</v>
      </c>
      <c r="C5" t="str">
        <f>'mocked packets'!C5</f>
        <v>MAC: HOST B</v>
      </c>
      <c r="D5">
        <f>'mocked packets'!D5</f>
        <v>443</v>
      </c>
      <c r="E5">
        <f>'mocked packets'!E5</f>
        <v>80</v>
      </c>
      <c r="F5" t="str">
        <f>'mocked packets'!G5</f>
        <v>UDP</v>
      </c>
      <c r="G5">
        <f>'mocked packets'!F2</f>
        <v>0</v>
      </c>
      <c r="H5">
        <f>'mocked packets'!F5</f>
        <v>1.3</v>
      </c>
      <c r="I5">
        <f t="shared" ref="I5" si="11">H5-G5</f>
        <v>1.3</v>
      </c>
      <c r="J5">
        <f t="shared" si="6"/>
        <v>4</v>
      </c>
      <c r="K5" s="1">
        <f>IF('mocked packets'!J5="True", 1+K4, 0+K4)</f>
        <v>0</v>
      </c>
      <c r="L5">
        <f>IF('mocked packets'!K4="True", 1 +L4, 0 + L4)</f>
        <v>0</v>
      </c>
      <c r="M5">
        <f>IF('mocked packets'!L5="True", 1+M4, 0+M4)</f>
        <v>0</v>
      </c>
      <c r="N5">
        <f>IF('mocked packets'!M5="True", 1 + N4, 0 + N4)</f>
        <v>0</v>
      </c>
      <c r="O5">
        <f>'mocked packets'!I5 + O4</f>
        <v>45</v>
      </c>
      <c r="P5">
        <f t="shared" si="2"/>
        <v>11.25</v>
      </c>
      <c r="Q5">
        <f>('mocked packets'!I5  -P5 )^2 + Q4</f>
        <v>6.0069444444444438</v>
      </c>
      <c r="R5">
        <f t="shared" si="3"/>
        <v>1.2254534308210618</v>
      </c>
      <c r="S5">
        <f>IF(J5&gt;1, ('mocked packets'!F5) - ('mocked packets'!F4) + S4, 0)</f>
        <v>1.3</v>
      </c>
      <c r="T5">
        <f t="shared" si="7"/>
        <v>0.43333333333333335</v>
      </c>
      <c r="U5">
        <f>(('mocked packets'!F5 - 'mocked packets'!F4) - T5)^2 + U4</f>
        <v>4.4444444444444425E-2</v>
      </c>
      <c r="V5">
        <f t="shared" ref="V5" si="12">IF(J5 &gt; 1, (U5/(J5 - 1))^0.5, 0)</f>
        <v>0.12171612389003689</v>
      </c>
      <c r="W5">
        <v>-1</v>
      </c>
      <c r="X5">
        <f>IF('mocked packets'!O5="True", 1, 0)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3.0769230769230766</v>
      </c>
      <c r="AB5">
        <f>IF(I5&gt;0, Z5/I5, 0)</f>
        <v>0</v>
      </c>
      <c r="AC5">
        <f>IF(AND('mocked packets'!B4="MAC: HOST A", 'mocked packets'!J5=TRUE),  1 + AC4, 0 + AC4)</f>
        <v>0</v>
      </c>
      <c r="AD5" cm="1">
        <f t="array" ref="AD5">IF(ISNUMBER(SEARCH(tcp,malformed,'mocked packets'!N4)),1 + AD4,0 + AD4)</f>
        <v>0</v>
      </c>
      <c r="AE5">
        <v>0</v>
      </c>
      <c r="AF5">
        <f>'mocked packets'!T5 + AF4</f>
        <v>52</v>
      </c>
      <c r="AG5">
        <f t="shared" si="8"/>
        <v>4</v>
      </c>
      <c r="AH5">
        <f t="shared" si="5"/>
        <v>13</v>
      </c>
      <c r="AI5">
        <f t="shared" si="9"/>
        <v>14</v>
      </c>
      <c r="AJ5">
        <f t="shared" si="10"/>
        <v>1.8708286933869707</v>
      </c>
      <c r="AK5" s="1"/>
      <c r="AL5" s="1"/>
    </row>
    <row r="6" spans="1:38" x14ac:dyDescent="0.2">
      <c r="A6" s="1">
        <v>4</v>
      </c>
      <c r="B6" s="1" t="str">
        <f>'mocked packets'!B6</f>
        <v>MAC: HOST C</v>
      </c>
      <c r="C6" s="1" t="s">
        <v>15</v>
      </c>
      <c r="D6" s="1">
        <v>443</v>
      </c>
      <c r="E6" s="1">
        <v>80</v>
      </c>
      <c r="F6" s="1" t="s">
        <v>18</v>
      </c>
      <c r="G6" s="1">
        <f>'mocked packets'!F6</f>
        <v>2.1</v>
      </c>
      <c r="H6" s="1">
        <f>'mocked packets'!F6</f>
        <v>2.1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f>'mocked packets'!I6</f>
        <v>8</v>
      </c>
      <c r="P6" s="1">
        <f>O6 /J6</f>
        <v>8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-1</v>
      </c>
      <c r="X6" s="1">
        <v>0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f>'mocked packets'!T6</f>
        <v>7</v>
      </c>
      <c r="AG6" s="1">
        <v>1</v>
      </c>
      <c r="AH6">
        <f t="shared" si="5"/>
        <v>7</v>
      </c>
      <c r="AI6" s="1">
        <v>0</v>
      </c>
      <c r="AJ6" s="1">
        <v>0</v>
      </c>
    </row>
    <row r="7" spans="1:38" x14ac:dyDescent="0.2">
      <c r="A7" s="1">
        <v>5</v>
      </c>
      <c r="B7" s="1" t="str">
        <f>'mocked packets'!B7</f>
        <v>MAC: HOST A</v>
      </c>
      <c r="C7" s="1" t="s">
        <v>15</v>
      </c>
      <c r="D7" s="1">
        <v>443</v>
      </c>
      <c r="E7" s="1">
        <v>80</v>
      </c>
      <c r="F7" s="1" t="s">
        <v>18</v>
      </c>
      <c r="G7" s="1">
        <f>'mocked packets'!F7</f>
        <v>65</v>
      </c>
      <c r="H7" s="1">
        <f>'mocked packets'!F7</f>
        <v>65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f>'mocked packets'!I7</f>
        <v>6</v>
      </c>
      <c r="P7" s="1">
        <f t="shared" ref="P7" si="13">O7 /J7</f>
        <v>6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-1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f>'mocked packets'!T7</f>
        <v>4</v>
      </c>
      <c r="AG7" s="1">
        <v>1</v>
      </c>
      <c r="AH7">
        <f t="shared" ref="AH7" si="14" xml:space="preserve"> AF7 /AG7</f>
        <v>4</v>
      </c>
      <c r="AI7" s="1">
        <v>0</v>
      </c>
      <c r="AJ7" s="1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2193-E28E-0B41-A188-835F630FAF1B}">
  <dimension ref="A1:AL7"/>
  <sheetViews>
    <sheetView tabSelected="1" topLeftCell="AC1" zoomScale="202" zoomScaleNormal="202" workbookViewId="0">
      <selection activeCell="AF1" sqref="AF1:AF1048576"/>
    </sheetView>
  </sheetViews>
  <sheetFormatPr baseColWidth="10" defaultRowHeight="16" x14ac:dyDescent="0.2"/>
  <cols>
    <col min="2" max="2" width="59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25.83203125" customWidth="1"/>
    <col min="31" max="31" width="13.6640625" customWidth="1"/>
    <col min="32" max="32" width="31" customWidth="1"/>
  </cols>
  <sheetData>
    <row r="1" spans="1:38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60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24</v>
      </c>
      <c r="AG1" t="s">
        <v>53</v>
      </c>
      <c r="AH1" s="1" t="s">
        <v>54</v>
      </c>
      <c r="AI1" s="1" t="s">
        <v>55</v>
      </c>
      <c r="AJ1" s="1" t="s">
        <v>56</v>
      </c>
      <c r="AK1" s="1"/>
      <c r="AL1" s="1"/>
    </row>
    <row r="2" spans="1:38" x14ac:dyDescent="0.2">
      <c r="A2">
        <f>ROW() - 2</f>
        <v>0</v>
      </c>
      <c r="B2" s="3" t="s">
        <v>58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UDP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packets'!J2="True", 1, 0)</f>
        <v>0</v>
      </c>
      <c r="L2">
        <f>IF('mocked packets'!K2="True", 1, 0)</f>
        <v>0</v>
      </c>
      <c r="M2">
        <f>IF('mocked packets'!L2="True", 1, 0)</f>
        <v>0</v>
      </c>
      <c r="N2">
        <f>IF('mocked packets'!M2="True", 1, 0)</f>
        <v>0</v>
      </c>
      <c r="O2">
        <f>'mocked packets'!I2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packets'!O2="True",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packets'!J2=TRUE),  1, 0)</f>
        <v>0</v>
      </c>
      <c r="AD2" cm="1">
        <f t="array" ref="AD2">IF(ISNUMBER(SEARCH(tcp,malformed,'mocked packets'!N2)),1,0)</f>
        <v>0</v>
      </c>
      <c r="AE2">
        <v>0</v>
      </c>
      <c r="AF2" s="2">
        <f>'mocked packets'!T2</f>
        <v>10</v>
      </c>
      <c r="AG2">
        <v>1</v>
      </c>
      <c r="AH2">
        <f xml:space="preserve"> AF2 /AG2</f>
        <v>10</v>
      </c>
      <c r="AI2">
        <v>0</v>
      </c>
      <c r="AJ2">
        <f>(AI2/AG2)^2</f>
        <v>0</v>
      </c>
      <c r="AK2" s="1"/>
      <c r="AL2" s="1"/>
    </row>
    <row r="3" spans="1:38" x14ac:dyDescent="0.2">
      <c r="A3">
        <f>ROW() - 2</f>
        <v>1</v>
      </c>
      <c r="B3" s="3" t="s">
        <v>58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packets'!G3</f>
        <v>UDP</v>
      </c>
      <c r="G3">
        <f>'mocked packets'!F2</f>
        <v>0</v>
      </c>
      <c r="H3">
        <f>'mocked packets'!F3</f>
        <v>0.6</v>
      </c>
      <c r="I3">
        <f t="shared" ref="I3" si="1">H3-G3</f>
        <v>0.6</v>
      </c>
      <c r="J3">
        <f>J2 + 1</f>
        <v>2</v>
      </c>
      <c r="K3" s="1">
        <f>IF('mocked packets'!J3="True", 1+K2, 0+K2)</f>
        <v>0</v>
      </c>
      <c r="L3">
        <f>IF('mocked packets'!K2="True", 1 +L2, 0 + L2)</f>
        <v>0</v>
      </c>
      <c r="M3">
        <f>IF('mocked packets'!L3="True", 1+M2, 0+M2)</f>
        <v>0</v>
      </c>
      <c r="N3">
        <f>IF('mocked packets'!M3="True", 1 + N2, 0 + N2)</f>
        <v>0</v>
      </c>
      <c r="O3">
        <f>'mocked packets'!I3 + O2</f>
        <v>24</v>
      </c>
      <c r="P3">
        <f t="shared" ref="P3:P5" si="2">O3 /J3</f>
        <v>12</v>
      </c>
      <c r="Q3">
        <f>('mocked packets'!I3  -P3 )^2 + Q2</f>
        <v>4</v>
      </c>
      <c r="R3">
        <f t="shared" ref="R3:R5" si="3">(Q3/J3)^0.5</f>
        <v>1.4142135623730951</v>
      </c>
      <c r="S3">
        <f>IF(J3&gt;1, ('mocked packets'!F3) - ('mocked packets'!F2) + S2, 0)</f>
        <v>0.6</v>
      </c>
      <c r="T3">
        <f>IF(S3&gt;0,S3/(J3-1), 0)</f>
        <v>0.6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packets'!O2="True",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3.3333333333333335</v>
      </c>
      <c r="AB3">
        <f>IF(I3&gt;0, Z3/I3, 0)</f>
        <v>0</v>
      </c>
      <c r="AC3">
        <f>IF(AND('mocked packets'!B2="MAC: HOST A", 'mocked packets'!J3=TRUE),  1 + AC2, 0 + AC2)</f>
        <v>0</v>
      </c>
      <c r="AD3" cm="1">
        <f t="array" ref="AD3">IF(ISNUMBER(SEARCH(tcp,malformed,'mocked packets'!N2)),1 + AD2,0 + AD2)</f>
        <v>0</v>
      </c>
      <c r="AE3">
        <v>0</v>
      </c>
      <c r="AF3">
        <f>'mocked packets'!T3 + AF2</f>
        <v>22</v>
      </c>
      <c r="AG3">
        <f>AG2 + 1</f>
        <v>2</v>
      </c>
      <c r="AH3">
        <f t="shared" ref="AH3:AH5" si="5" xml:space="preserve"> AF3 /AG3</f>
        <v>11</v>
      </c>
      <c r="AI3">
        <f>((AF3 - AF2) - AH3)^2 + AI2</f>
        <v>1</v>
      </c>
      <c r="AJ3">
        <f>(AI3/AG3) ^0.5</f>
        <v>0.70710678118654757</v>
      </c>
      <c r="AK3" s="1"/>
      <c r="AL3" s="1"/>
    </row>
    <row r="4" spans="1:38" x14ac:dyDescent="0.2">
      <c r="A4">
        <v>2</v>
      </c>
      <c r="B4" s="3" t="s">
        <v>58</v>
      </c>
      <c r="C4" t="str">
        <f>'mocked packets'!C4</f>
        <v>MAC: HOST B</v>
      </c>
      <c r="D4">
        <f>'mocked packets'!D4</f>
        <v>443</v>
      </c>
      <c r="E4">
        <f>'mocked packets'!E4</f>
        <v>80</v>
      </c>
      <c r="F4" t="str">
        <f>'mocked packets'!G4</f>
        <v>UDP</v>
      </c>
      <c r="G4">
        <f>'mocked packets'!F2</f>
        <v>0</v>
      </c>
      <c r="H4">
        <f>'mocked packets'!F4</f>
        <v>0.8</v>
      </c>
      <c r="I4">
        <f>H4-G4</f>
        <v>0.8</v>
      </c>
      <c r="J4">
        <f t="shared" ref="J4:J6" si="6">J3 + 1</f>
        <v>3</v>
      </c>
      <c r="K4" s="1">
        <f>IF('mocked packets'!J4="True", 1+K3, 0+K3)</f>
        <v>0</v>
      </c>
      <c r="L4">
        <f>IF('mocked packets'!K3="True", 1 +L3, 0 + L3)</f>
        <v>0</v>
      </c>
      <c r="M4">
        <f>IF('mocked packets'!L4="True", 1+M3, 0+M3)</f>
        <v>0</v>
      </c>
      <c r="N4">
        <f>IF('mocked packets'!M4="True", 1 + N3, 0 + N3)</f>
        <v>0</v>
      </c>
      <c r="O4">
        <f>'mocked packets'!I4 + O3</f>
        <v>35</v>
      </c>
      <c r="P4">
        <f t="shared" si="2"/>
        <v>11.666666666666666</v>
      </c>
      <c r="Q4">
        <f>('mocked packets'!I4  -P4 )^2 + Q3</f>
        <v>4.4444444444444438</v>
      </c>
      <c r="R4">
        <f t="shared" si="3"/>
        <v>1.217161238900369</v>
      </c>
      <c r="S4">
        <f>IF(J4&gt;1, ('mocked packets'!F4) - ('mocked packets'!F3) + S3, 0)</f>
        <v>0.8</v>
      </c>
      <c r="T4">
        <f t="shared" ref="T4:T5" si="7">IF(S4&gt;0,S4/(J4-1), 0)</f>
        <v>0.4</v>
      </c>
      <c r="U4">
        <f>((S4-S3) - T4)^2</f>
        <v>3.999999999999998E-2</v>
      </c>
      <c r="V4">
        <f>IF(J4 &gt; 1, (U4/(J4 - 1))^0.5, 0)</f>
        <v>0.14142135623730948</v>
      </c>
      <c r="W4">
        <v>-1</v>
      </c>
      <c r="X4" s="3">
        <f>IF('mocked packets'!O3="True", 1+X3, 0+X3)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3.75</v>
      </c>
      <c r="AB4">
        <f>IF(I4&gt;0, Z4/I4, 0)</f>
        <v>0</v>
      </c>
      <c r="AC4">
        <f>IF(AND('mocked packets'!B3="MAC: HOST A", 'mocked packets'!J4=TRUE),  1 + AC3, 0 + AC3)</f>
        <v>0</v>
      </c>
      <c r="AD4" cm="1">
        <f t="array" ref="AD4">IF(ISNUMBER(SEARCH(tcp,malformed,'mocked packets'!N3)),1 + AD3,0 + AD3)</f>
        <v>0</v>
      </c>
      <c r="AE4">
        <v>0</v>
      </c>
      <c r="AF4">
        <f>'mocked packets'!T4 + AF3</f>
        <v>36</v>
      </c>
      <c r="AG4">
        <f t="shared" ref="AG4:AG6" si="8">AG3 + 1</f>
        <v>3</v>
      </c>
      <c r="AH4">
        <f t="shared" si="5"/>
        <v>12</v>
      </c>
      <c r="AI4">
        <f t="shared" ref="AI4:AI5" si="9">((AF4 - AF3) - AH4)^2 + AI3</f>
        <v>5</v>
      </c>
      <c r="AJ4">
        <f t="shared" ref="AJ4:AJ5" si="10">(AI4/AG4) ^0.5</f>
        <v>1.2909944487358056</v>
      </c>
      <c r="AK4" s="1"/>
      <c r="AL4" s="1"/>
    </row>
    <row r="5" spans="1:38" x14ac:dyDescent="0.2">
      <c r="A5">
        <v>3</v>
      </c>
      <c r="B5" s="3" t="s">
        <v>58</v>
      </c>
      <c r="C5" t="str">
        <f>'mocked packets'!C5</f>
        <v>MAC: HOST B</v>
      </c>
      <c r="D5">
        <f>'mocked packets'!D5</f>
        <v>443</v>
      </c>
      <c r="E5">
        <f>'mocked packets'!E5</f>
        <v>80</v>
      </c>
      <c r="F5" t="str">
        <f>'mocked packets'!G5</f>
        <v>UDP</v>
      </c>
      <c r="G5">
        <f>'mocked packets'!F2</f>
        <v>0</v>
      </c>
      <c r="H5">
        <f>'mocked packets'!F5</f>
        <v>1.3</v>
      </c>
      <c r="I5">
        <f t="shared" ref="I5" si="11">H5-G5</f>
        <v>1.3</v>
      </c>
      <c r="J5">
        <f t="shared" si="6"/>
        <v>4</v>
      </c>
      <c r="K5" s="1">
        <f>IF('mocked packets'!J5="True", 1+K4, 0+K4)</f>
        <v>0</v>
      </c>
      <c r="L5">
        <f>IF('mocked packets'!K4="True", 1 +L4, 0 + L4)</f>
        <v>0</v>
      </c>
      <c r="M5">
        <f>IF('mocked packets'!L5="True", 1+M4, 0+M4)</f>
        <v>0</v>
      </c>
      <c r="N5">
        <f>IF('mocked packets'!M5="True", 1 + N4, 0 + N4)</f>
        <v>0</v>
      </c>
      <c r="O5">
        <f>'mocked packets'!I5 + O4</f>
        <v>45</v>
      </c>
      <c r="P5">
        <f t="shared" si="2"/>
        <v>11.25</v>
      </c>
      <c r="Q5">
        <f>('mocked packets'!I5  -P5 )^2 + Q4</f>
        <v>6.0069444444444438</v>
      </c>
      <c r="R5">
        <f t="shared" si="3"/>
        <v>1.2254534308210618</v>
      </c>
      <c r="S5">
        <f>IF(J5&gt;1, ('mocked packets'!F5) - ('mocked packets'!F4) + S4, 0)</f>
        <v>1.3</v>
      </c>
      <c r="T5">
        <f t="shared" si="7"/>
        <v>0.43333333333333335</v>
      </c>
      <c r="U5">
        <f>(('mocked packets'!F5 - 'mocked packets'!F4) - T5)^2 + U4</f>
        <v>4.4444444444444425E-2</v>
      </c>
      <c r="V5">
        <f t="shared" ref="V5" si="12">IF(J5 &gt; 1, (U5/(J5 - 1))^0.5, 0)</f>
        <v>0.12171612389003689</v>
      </c>
      <c r="W5">
        <v>-1</v>
      </c>
      <c r="X5" s="3">
        <f>IF('mocked packets'!O4="True", 1+X4, 0+X4)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3.0769230769230766</v>
      </c>
      <c r="AB5">
        <f>IF(I5&gt;0, Z5/I5, 0)</f>
        <v>0</v>
      </c>
      <c r="AC5">
        <f>IF(AND('mocked packets'!B4="MAC: HOST A", 'mocked packets'!J5=TRUE),  1 + AC4, 0 + AC4)</f>
        <v>0</v>
      </c>
      <c r="AD5" cm="1">
        <f t="array" ref="AD5">IF(ISNUMBER(SEARCH(tcp,malformed,'mocked packets'!N4)),1 + AD4,0 + AD4)</f>
        <v>0</v>
      </c>
      <c r="AE5">
        <v>0</v>
      </c>
      <c r="AF5">
        <f>'mocked packets'!T5 + AF4</f>
        <v>52</v>
      </c>
      <c r="AG5">
        <f t="shared" si="8"/>
        <v>4</v>
      </c>
      <c r="AH5">
        <f t="shared" si="5"/>
        <v>13</v>
      </c>
      <c r="AI5">
        <f t="shared" si="9"/>
        <v>14</v>
      </c>
      <c r="AJ5">
        <f t="shared" si="10"/>
        <v>1.8708286933869707</v>
      </c>
      <c r="AK5" s="1"/>
      <c r="AL5" s="1"/>
    </row>
    <row r="6" spans="1:38" x14ac:dyDescent="0.2">
      <c r="A6">
        <v>4</v>
      </c>
      <c r="B6" s="1" t="s">
        <v>59</v>
      </c>
      <c r="C6" t="str">
        <f>'mocked packets'!C6</f>
        <v>MAC: HOST B</v>
      </c>
      <c r="D6">
        <f>'mocked packets'!D6</f>
        <v>443</v>
      </c>
      <c r="E6">
        <f>'mocked packets'!E6</f>
        <v>80</v>
      </c>
      <c r="F6" t="str">
        <f>'mocked packets'!G6</f>
        <v>UDP</v>
      </c>
      <c r="G6">
        <f>'mocked packets'!F2</f>
        <v>0</v>
      </c>
      <c r="H6">
        <f>'mocked packets'!F6</f>
        <v>2.1</v>
      </c>
      <c r="I6">
        <f>I5</f>
        <v>1.3</v>
      </c>
      <c r="J6">
        <f t="shared" si="6"/>
        <v>5</v>
      </c>
      <c r="K6" s="1">
        <f>IF('mocked packets'!J6="True", 1+K5, 0+K5)</f>
        <v>0</v>
      </c>
      <c r="L6">
        <f>IF('mocked packets'!K5="True", 1 +L5, 0 + L5)</f>
        <v>0</v>
      </c>
      <c r="M6">
        <f>IF('mocked packets'!L6="True", 1+M5, 0+M5)</f>
        <v>0</v>
      </c>
      <c r="N6">
        <f>IF('mocked packets'!M6="True", 1 + N5, 0 + N5)</f>
        <v>0</v>
      </c>
      <c r="O6">
        <f>'mocked packets'!I6 + O5</f>
        <v>53</v>
      </c>
      <c r="P6">
        <f t="shared" ref="P6" si="13">O6 /J6</f>
        <v>10.6</v>
      </c>
      <c r="Q6">
        <f>('mocked packets'!I6  -P6 )^2 + Q5</f>
        <v>12.766944444444441</v>
      </c>
      <c r="R6">
        <f t="shared" ref="R6" si="14">(Q6/J6)^0.5</f>
        <v>1.5979326922273316</v>
      </c>
      <c r="S6">
        <f>IF(J6&gt;1,  S5, 0)</f>
        <v>1.3</v>
      </c>
      <c r="T6">
        <f>T5</f>
        <v>0.43333333333333335</v>
      </c>
      <c r="U6">
        <f>U5</f>
        <v>4.4444444444444425E-2</v>
      </c>
      <c r="V6">
        <f>V5</f>
        <v>0.12171612389003689</v>
      </c>
      <c r="W6">
        <v>-1</v>
      </c>
      <c r="X6" s="3">
        <f>IF('mocked packets'!O5="True", 1+X5, 0+X5)</f>
        <v>0</v>
      </c>
      <c r="Y6">
        <f>IF('mocked packets'!C6="MAC: HOST B",  1 + Y5, 0)</f>
        <v>5</v>
      </c>
      <c r="Z6">
        <f>IF('mocked packets'!B5="MAC: HOST B",  1 + Z5, 0 + Z5)</f>
        <v>0</v>
      </c>
      <c r="AA6">
        <f t="shared" ref="AA6" si="15">IF(I6&gt;0, Y6/I6, 0)</f>
        <v>3.8461538461538458</v>
      </c>
      <c r="AB6">
        <f t="shared" ref="AB6" si="16">IF(I6&gt;0, Z6/I6, 0)</f>
        <v>0</v>
      </c>
      <c r="AC6">
        <f>IF(AND('mocked packets'!B5="MAC: HOST A", 'mocked packets'!J6=TRUE),  1 + AC5, 0 + AC5)</f>
        <v>0</v>
      </c>
      <c r="AD6" cm="1">
        <f t="array" ref="AD6">IF(ISNUMBER(SEARCH(tcp,malformed,'mocked packets'!N5)),1 + AD5,0 + AD5)</f>
        <v>0</v>
      </c>
      <c r="AE6">
        <v>0</v>
      </c>
      <c r="AF6">
        <f>'mocked packets'!T6 + AF5</f>
        <v>59</v>
      </c>
      <c r="AG6">
        <f t="shared" si="8"/>
        <v>5</v>
      </c>
      <c r="AH6">
        <f t="shared" ref="AH6" si="17" xml:space="preserve"> AF6 /AG6</f>
        <v>11.8</v>
      </c>
      <c r="AI6">
        <f t="shared" ref="AI6" si="18">((AF6 - AF5) - AH6)^2 + AI5</f>
        <v>37.040000000000006</v>
      </c>
      <c r="AJ6">
        <f t="shared" ref="AJ6" si="19">(AI6/AG6) ^0.5</f>
        <v>2.7217641337926404</v>
      </c>
    </row>
    <row r="7" spans="1:38" x14ac:dyDescent="0.2">
      <c r="A7">
        <v>5</v>
      </c>
      <c r="B7" s="1" t="s">
        <v>59</v>
      </c>
      <c r="C7" t="str">
        <f>'mocked packets'!C7</f>
        <v>MAC: HOST B</v>
      </c>
      <c r="D7">
        <f>'mocked packets'!D7</f>
        <v>443</v>
      </c>
      <c r="E7">
        <f>'mocked packets'!E7</f>
        <v>80</v>
      </c>
      <c r="F7" t="str">
        <f>'mocked packets'!G7</f>
        <v>UDP</v>
      </c>
      <c r="G7">
        <f>'mocked packets'!F2</f>
        <v>0</v>
      </c>
      <c r="H7">
        <f>'mocked packets'!F7</f>
        <v>65</v>
      </c>
      <c r="I7">
        <v>0</v>
      </c>
      <c r="J7">
        <f>2</f>
        <v>2</v>
      </c>
      <c r="K7" s="1">
        <f>IF('mocked packets'!J7="True", 1+K6, 0+K6)</f>
        <v>0</v>
      </c>
      <c r="L7">
        <f>IF('mocked packets'!K6="True", 1 +L6, 0 + L6)</f>
        <v>0</v>
      </c>
      <c r="M7">
        <f>IF('mocked packets'!L7="True", 1+M6, 0+M6)</f>
        <v>0</v>
      </c>
      <c r="N7">
        <f>IF('mocked packets'!M7="True", 1 + N6, 0 + N6)</f>
        <v>0</v>
      </c>
      <c r="O7">
        <f>'mocked packets'!I7 + 'mocked packets'!I6</f>
        <v>14</v>
      </c>
      <c r="P7">
        <f t="shared" ref="P7" si="20">O7 /J7</f>
        <v>7</v>
      </c>
      <c r="Q7">
        <v>1</v>
      </c>
      <c r="R7">
        <f>(Q7/J7)^0.5</f>
        <v>0.70710678118654757</v>
      </c>
      <c r="S7">
        <f>I7</f>
        <v>0</v>
      </c>
      <c r="T7">
        <f t="shared" ref="T7" si="21">IF(S7&gt;0,S7/(J7-1), 0)</f>
        <v>0</v>
      </c>
      <c r="U7">
        <v>0</v>
      </c>
      <c r="V7">
        <f t="shared" ref="V7" si="22">IF(J7 &gt; 1, (U7/(J7 - 1))^0.5, 0)</f>
        <v>0</v>
      </c>
      <c r="W7">
        <v>-1</v>
      </c>
      <c r="X7" s="3">
        <f>IF('mocked packets'!O6="True", 1+X6, 0+X6)</f>
        <v>0</v>
      </c>
      <c r="Y7">
        <f>IF('mocked packets'!C7="MAC: HOST B",  2, 0)</f>
        <v>2</v>
      </c>
      <c r="Z7">
        <f>IF('mocked packets'!B6="MAC: HOST B",  1 + Z6, 0 + Z6)</f>
        <v>0</v>
      </c>
      <c r="AA7">
        <f t="shared" ref="AA7" si="23">IF(I7&gt;0, Y7/I7, 0)</f>
        <v>0</v>
      </c>
      <c r="AB7">
        <f t="shared" ref="AB7" si="24">IF(I7&gt;0, Z7/I7, 0)</f>
        <v>0</v>
      </c>
      <c r="AC7">
        <f>IF(AND('mocked packets'!B6="MAC: HOST A", 'mocked packets'!J7=TRUE),  1 + AC6, 0 + AC6)</f>
        <v>0</v>
      </c>
      <c r="AD7" cm="1">
        <f t="array" ref="AD7">IF(ISNUMBER(SEARCH(tcp,malformed,'mocked packets'!N6)),1 + AD6,0 + AD6)</f>
        <v>0</v>
      </c>
      <c r="AE7">
        <v>0</v>
      </c>
      <c r="AF7">
        <f>'mocked packets'!T7 +'mocked packets'!T6</f>
        <v>11</v>
      </c>
      <c r="AG7">
        <f>2</f>
        <v>2</v>
      </c>
      <c r="AH7">
        <f t="shared" ref="AH7" si="25" xml:space="preserve"> AF7 /AG7</f>
        <v>5.5</v>
      </c>
      <c r="AI7">
        <f xml:space="preserve"> AI6 - (AH6 - 'mocked packets'!T6)^2 +(AH7 - 'mocked packets'!T7)^2 - AI5</f>
        <v>2.25</v>
      </c>
      <c r="AJ7">
        <f t="shared" ref="AJ7" si="26">(AI7/AG7) ^0.5</f>
        <v>1.0606601717798212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mocked packets</vt:lpstr>
      <vt:lpstr>Channel conversation</vt:lpstr>
      <vt:lpstr>Destination port 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Fan Guo</dc:creator>
  <cp:lastModifiedBy>Xin Fan Guo</cp:lastModifiedBy>
  <dcterms:created xsi:type="dcterms:W3CDTF">2024-05-05T20:48:54Z</dcterms:created>
  <dcterms:modified xsi:type="dcterms:W3CDTF">2024-09-02T10:32:42Z</dcterms:modified>
</cp:coreProperties>
</file>