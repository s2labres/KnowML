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fanguo/Desktop/Repos/Knowledge_Driven_and_Context_Awere_detection/FE_V2/Test/"/>
    </mc:Choice>
  </mc:AlternateContent>
  <xr:revisionPtr revIDLastSave="0" documentId="13_ncr:1_{E12070A3-859D-C944-9ECB-77E2D58DAFA5}" xr6:coauthVersionLast="47" xr6:coauthVersionMax="47" xr10:uidLastSave="{00000000-0000-0000-0000-000000000000}"/>
  <bookViews>
    <workbookView xWindow="11800" yWindow="2180" windowWidth="36000" windowHeight="21280" activeTab="2" xr2:uid="{45553426-698C-534C-B5C9-1E7492643028}"/>
  </bookViews>
  <sheets>
    <sheet name="mocked packets" sheetId="1" r:id="rId1"/>
    <sheet name="Channel conversation" sheetId="2" r:id="rId2"/>
    <sheet name="Destination port conversatio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" i="4" l="1"/>
  <c r="B4" i="2" l="1"/>
  <c r="B5" i="2"/>
  <c r="G4" i="4"/>
  <c r="H4" i="4"/>
  <c r="AI4" i="2"/>
  <c r="AG4" i="2"/>
  <c r="AG5" i="2" s="1"/>
  <c r="AF4" i="2"/>
  <c r="Y4" i="2"/>
  <c r="Y5" i="2" s="1"/>
  <c r="U4" i="2"/>
  <c r="O4" i="2"/>
  <c r="L4" i="2"/>
  <c r="J4" i="2"/>
  <c r="J5" i="2" s="1"/>
  <c r="G5" i="2"/>
  <c r="G4" i="2"/>
  <c r="AJ2" i="2"/>
  <c r="AJ2" i="4"/>
  <c r="AG3" i="2"/>
  <c r="AF2" i="4"/>
  <c r="AH2" i="4" s="1"/>
  <c r="AF2" i="2"/>
  <c r="AF3" i="2" s="1"/>
  <c r="Z2" i="4"/>
  <c r="Z3" i="4" s="1"/>
  <c r="Z4" i="4" s="1"/>
  <c r="Z5" i="4" s="1"/>
  <c r="Z2" i="2"/>
  <c r="Z3" i="2" s="1"/>
  <c r="Z4" i="2" s="1"/>
  <c r="Z5" i="2" s="1"/>
  <c r="Y2" i="4"/>
  <c r="Y3" i="4" s="1"/>
  <c r="Y4" i="4" s="1"/>
  <c r="Y5" i="4" s="1"/>
  <c r="Y2" i="2"/>
  <c r="Y3" i="2" s="1"/>
  <c r="H5" i="4"/>
  <c r="G5" i="4"/>
  <c r="F5" i="4"/>
  <c r="E5" i="4"/>
  <c r="D5" i="4"/>
  <c r="C5" i="4"/>
  <c r="F4" i="4"/>
  <c r="E4" i="4"/>
  <c r="D4" i="4"/>
  <c r="C4" i="4"/>
  <c r="J3" i="4"/>
  <c r="J4" i="4" s="1"/>
  <c r="H3" i="4"/>
  <c r="G3" i="4"/>
  <c r="F3" i="4"/>
  <c r="E3" i="4"/>
  <c r="D3" i="4"/>
  <c r="C3" i="4"/>
  <c r="A3" i="4"/>
  <c r="AD2" i="4" a="1"/>
  <c r="AD2" i="4" s="1"/>
  <c r="AD3" i="4" s="1" a="1"/>
  <c r="AD3" i="4" s="1"/>
  <c r="AD4" i="4" s="1" a="1"/>
  <c r="AD4" i="4" s="1"/>
  <c r="AD5" i="4" s="1" a="1"/>
  <c r="AD5" i="4" s="1"/>
  <c r="AC2" i="4"/>
  <c r="AC3" i="4" s="1"/>
  <c r="AC4" i="4" s="1"/>
  <c r="AC5" i="4" s="1"/>
  <c r="X2" i="4"/>
  <c r="X3" i="4" s="1"/>
  <c r="X4" i="4" s="1"/>
  <c r="X5" i="4" s="1"/>
  <c r="V2" i="4"/>
  <c r="S2" i="4"/>
  <c r="T2" i="4" s="1"/>
  <c r="U2" i="4" s="1"/>
  <c r="O2" i="4"/>
  <c r="O3" i="4" s="1"/>
  <c r="O4" i="4" s="1"/>
  <c r="N2" i="4"/>
  <c r="N3" i="4" s="1"/>
  <c r="N4" i="4" s="1"/>
  <c r="N5" i="4" s="1"/>
  <c r="M2" i="4"/>
  <c r="M3" i="4" s="1"/>
  <c r="M4" i="4" s="1"/>
  <c r="M5" i="4" s="1"/>
  <c r="L2" i="4"/>
  <c r="L3" i="4" s="1"/>
  <c r="L4" i="4" s="1"/>
  <c r="L5" i="4" s="1"/>
  <c r="K2" i="4"/>
  <c r="K3" i="4" s="1"/>
  <c r="K4" i="4" s="1"/>
  <c r="K5" i="4" s="1"/>
  <c r="G2" i="4"/>
  <c r="F2" i="4"/>
  <c r="E2" i="4"/>
  <c r="D2" i="4"/>
  <c r="C2" i="4"/>
  <c r="A2" i="4"/>
  <c r="V2" i="2"/>
  <c r="H5" i="2"/>
  <c r="H4" i="2"/>
  <c r="X2" i="2"/>
  <c r="X3" i="2" s="1"/>
  <c r="X4" i="2" s="1"/>
  <c r="X5" i="2" s="1"/>
  <c r="N2" i="2"/>
  <c r="N3" i="2" s="1"/>
  <c r="N4" i="2" s="1"/>
  <c r="N5" i="2" s="1"/>
  <c r="M2" i="2"/>
  <c r="M3" i="2" s="1"/>
  <c r="M4" i="2" s="1"/>
  <c r="M5" i="2" s="1"/>
  <c r="L2" i="2"/>
  <c r="L3" i="2" s="1"/>
  <c r="K2" i="2"/>
  <c r="K3" i="2" s="1"/>
  <c r="K4" i="2" s="1"/>
  <c r="K5" i="2" s="1"/>
  <c r="B2" i="2"/>
  <c r="AD2" i="2" a="1"/>
  <c r="AD2" i="2" s="1"/>
  <c r="AD3" i="2" s="1" a="1"/>
  <c r="AD3" i="2" s="1"/>
  <c r="AD4" i="2" s="1" a="1"/>
  <c r="AD4" i="2" s="1"/>
  <c r="AD5" i="2" s="1" a="1"/>
  <c r="AD5" i="2" s="1"/>
  <c r="AC2" i="2"/>
  <c r="AC3" i="2" s="1"/>
  <c r="AC4" i="2" s="1"/>
  <c r="AC5" i="2" s="1"/>
  <c r="S2" i="2"/>
  <c r="T2" i="2" s="1"/>
  <c r="U2" i="2" s="1"/>
  <c r="S4" i="2" l="1"/>
  <c r="AH4" i="2"/>
  <c r="AH2" i="2"/>
  <c r="AF3" i="4"/>
  <c r="AF5" i="2"/>
  <c r="AH3" i="2"/>
  <c r="AI3" i="2"/>
  <c r="AJ3" i="2" s="1"/>
  <c r="AH5" i="2"/>
  <c r="L5" i="2"/>
  <c r="AJ4" i="2"/>
  <c r="I3" i="4"/>
  <c r="I4" i="4" s="1"/>
  <c r="I5" i="4" s="1"/>
  <c r="S3" i="4"/>
  <c r="S4" i="4" s="1"/>
  <c r="S5" i="4" s="1"/>
  <c r="O5" i="4"/>
  <c r="P4" i="4"/>
  <c r="P2" i="4"/>
  <c r="Q2" i="4" s="1"/>
  <c r="R2" i="4" s="1"/>
  <c r="J5" i="4"/>
  <c r="P3" i="4"/>
  <c r="O2" i="2"/>
  <c r="O3" i="2" s="1"/>
  <c r="O5" i="2" s="1"/>
  <c r="J3" i="2"/>
  <c r="P5" i="4" l="1"/>
  <c r="AH3" i="4"/>
  <c r="AI3" i="4" s="1"/>
  <c r="AF4" i="4"/>
  <c r="AA5" i="4"/>
  <c r="AB5" i="4"/>
  <c r="AF5" i="4"/>
  <c r="AH4" i="4"/>
  <c r="AI5" i="2"/>
  <c r="AJ5" i="2" s="1"/>
  <c r="AA4" i="4"/>
  <c r="AA3" i="4"/>
  <c r="AB3" i="4"/>
  <c r="AB4" i="4"/>
  <c r="T3" i="4"/>
  <c r="V4" i="4"/>
  <c r="Q3" i="4"/>
  <c r="R3" i="4" s="1"/>
  <c r="Q4" i="4"/>
  <c r="R4" i="4" s="1"/>
  <c r="T5" i="4"/>
  <c r="S3" i="2"/>
  <c r="T3" i="2" s="1"/>
  <c r="P3" i="2"/>
  <c r="P2" i="2"/>
  <c r="Q2" i="2" s="1"/>
  <c r="R2" i="2" s="1"/>
  <c r="U3" i="4" l="1"/>
  <c r="V3" i="4" s="1"/>
  <c r="T4" i="4"/>
  <c r="AJ3" i="4"/>
  <c r="AI4" i="4"/>
  <c r="AJ4" i="4" s="1"/>
  <c r="AH5" i="4"/>
  <c r="AI5" i="4" s="1"/>
  <c r="AJ5" i="4" s="1"/>
  <c r="U5" i="4"/>
  <c r="V5" i="4" s="1"/>
  <c r="Q5" i="4"/>
  <c r="R5" i="4" s="1"/>
  <c r="Q3" i="2"/>
  <c r="R3" i="2" s="1"/>
  <c r="U3" i="2"/>
  <c r="V3" i="2" s="1"/>
  <c r="P5" i="2"/>
  <c r="P4" i="2"/>
  <c r="Q4" i="2" l="1"/>
  <c r="Q5" i="2" s="1"/>
  <c r="R5" i="2" s="1"/>
  <c r="S5" i="2"/>
  <c r="T4" i="2"/>
  <c r="V4" i="2" s="1"/>
  <c r="R4" i="2"/>
  <c r="T5" i="2" l="1"/>
  <c r="F5" i="2"/>
  <c r="F4" i="2"/>
  <c r="F3" i="2"/>
  <c r="F2" i="2"/>
  <c r="I4" i="2"/>
  <c r="G3" i="2"/>
  <c r="H3" i="2"/>
  <c r="I3" i="2" s="1"/>
  <c r="G2" i="2"/>
  <c r="E2" i="2"/>
  <c r="E5" i="2"/>
  <c r="E4" i="2"/>
  <c r="E3" i="2"/>
  <c r="D5" i="2"/>
  <c r="D4" i="2"/>
  <c r="D3" i="2"/>
  <c r="D2" i="2"/>
  <c r="C5" i="2"/>
  <c r="C4" i="2"/>
  <c r="C3" i="2"/>
  <c r="C2" i="2"/>
  <c r="B3" i="2"/>
  <c r="A3" i="2"/>
  <c r="A2" i="2"/>
  <c r="A3" i="1"/>
  <c r="A2" i="1"/>
  <c r="U5" i="2" l="1"/>
  <c r="V5" i="2" s="1"/>
  <c r="AB3" i="2"/>
  <c r="AA3" i="2"/>
  <c r="I5" i="2"/>
  <c r="AB5" i="2" l="1"/>
  <c r="AA5" i="2"/>
  <c r="AB4" i="2"/>
  <c r="AA4" i="2"/>
  <c r="AA2" i="2"/>
  <c r="H2" i="2"/>
  <c r="I2" i="2"/>
  <c r="AB2" i="2"/>
  <c r="AB2" i="4"/>
  <c r="H2" i="4"/>
  <c r="I2" i="4"/>
  <c r="AA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<sst xmlns="http://schemas.openxmlformats.org/spreadsheetml/2006/main" count="129" uniqueCount="63">
  <si>
    <t>Index</t>
  </si>
  <si>
    <t>source_port</t>
  </si>
  <si>
    <t>destination_port</t>
  </si>
  <si>
    <t>timestamp</t>
  </si>
  <si>
    <t>protocol</t>
  </si>
  <si>
    <t>sequence_number</t>
  </si>
  <si>
    <t>syn_flag</t>
  </si>
  <si>
    <t>ack_flag</t>
  </si>
  <si>
    <t>rst_flag</t>
  </si>
  <si>
    <t>fin_flag</t>
  </si>
  <si>
    <t>TCP</t>
  </si>
  <si>
    <t>source_mac</t>
  </si>
  <si>
    <t>destination_mac</t>
  </si>
  <si>
    <t>MAC: HOST A</t>
  </si>
  <si>
    <t>protocol_hierarchy</t>
  </si>
  <si>
    <t>eth:ethertype:ip:tcp:tls</t>
  </si>
  <si>
    <t>frame_len</t>
  </si>
  <si>
    <t>http_domain</t>
  </si>
  <si>
    <t>https_domain</t>
  </si>
  <si>
    <t>MAC: HOST B</t>
  </si>
  <si>
    <t>tcp_keep_alive</t>
  </si>
  <si>
    <t>dns_domain_name</t>
  </si>
  <si>
    <t>False</t>
  </si>
  <si>
    <t>True</t>
  </si>
  <si>
    <t>ssh_encrypted</t>
  </si>
  <si>
    <t>src_mac</t>
  </si>
  <si>
    <t>dst_mac</t>
  </si>
  <si>
    <t>src_port</t>
  </si>
  <si>
    <t>dst_port</t>
  </si>
  <si>
    <t>start_ts</t>
  </si>
  <si>
    <t>last_ts</t>
  </si>
  <si>
    <t>duration</t>
  </si>
  <si>
    <t>total_packet_count</t>
  </si>
  <si>
    <t>syn_flag_count</t>
  </si>
  <si>
    <t>ack_flag_count</t>
  </si>
  <si>
    <t>rst_flag_count</t>
  </si>
  <si>
    <t>fin_flag_count</t>
  </si>
  <si>
    <t>packet_size</t>
  </si>
  <si>
    <t>packet_size_mean</t>
  </si>
  <si>
    <t>packet_size_ssr</t>
  </si>
  <si>
    <t>packet_size_std</t>
  </si>
  <si>
    <t>iat_time</t>
  </si>
  <si>
    <t>iat_time_mean</t>
  </si>
  <si>
    <t>iat_time_ssr</t>
  </si>
  <si>
    <t>iat_time_std</t>
  </si>
  <si>
    <t>keep_alive_count</t>
  </si>
  <si>
    <t>inbound_packet_count</t>
  </si>
  <si>
    <t>outbound_packet_count</t>
  </si>
  <si>
    <t>inbound_packet_rate</t>
  </si>
  <si>
    <t>outbound_packet_rate</t>
  </si>
  <si>
    <t>connection_count</t>
  </si>
  <si>
    <t>invalid_checksums_count</t>
  </si>
  <si>
    <t>num_connection_per_domain</t>
  </si>
  <si>
    <t>ttl</t>
  </si>
  <si>
    <t>ttl_packets</t>
  </si>
  <si>
    <t>ttl_mean</t>
  </si>
  <si>
    <t>ttl_ssr</t>
  </si>
  <si>
    <t>ttl_std</t>
  </si>
  <si>
    <t>MAC: HOST C</t>
  </si>
  <si>
    <t>MAC: HOST A-443</t>
  </si>
  <si>
    <t>MAC: HOST A-443|MAC: HOST C-443</t>
  </si>
  <si>
    <t>ex_ack_number</t>
  </si>
  <si>
    <t>tcp_window_size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</si>
</sst>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9B760-526A-DF4F-B825-F9394300E2C9}">
  <dimension ref="A1:U5"/>
  <sheetViews>
    <sheetView zoomScale="244" zoomScaleNormal="130" workbookViewId="0">
      <selection activeCell="S2" sqref="S2:S5"/>
    </sheetView>
  </sheetViews>
  <sheetFormatPr baseColWidth="10" defaultRowHeight="16" x14ac:dyDescent="0.2"/>
  <cols>
    <col min="2" max="2" width="16.5" customWidth="1"/>
    <col min="3" max="3" width="14.83203125" customWidth="1"/>
    <col min="4" max="4" width="12.6640625" customWidth="1"/>
    <col min="5" max="5" width="17.83203125" customWidth="1"/>
    <col min="8" max="8" width="35.6640625" customWidth="1"/>
    <col min="9" max="9" width="26.83203125" customWidth="1"/>
    <col min="14" max="14" width="25.33203125" customWidth="1"/>
    <col min="15" max="15" width="17.1640625" customWidth="1"/>
    <col min="16" max="16" width="9.5" bestFit="1" customWidth="1"/>
    <col min="17" max="17" width="18.5" customWidth="1"/>
    <col min="18" max="18" width="25.1640625" customWidth="1"/>
    <col min="19" max="19" width="17.33203125" customWidth="1"/>
  </cols>
  <sheetData>
    <row r="1" spans="1:21" x14ac:dyDescent="0.2">
      <c r="A1" t="s">
        <v>0</v>
      </c>
      <c r="B1" t="s">
        <v>11</v>
      </c>
      <c r="C1" t="s">
        <v>12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16</v>
      </c>
      <c r="J1" t="s">
        <v>6</v>
      </c>
      <c r="K1" t="s">
        <v>7</v>
      </c>
      <c r="L1" t="s">
        <v>8</v>
      </c>
      <c r="M1" t="s">
        <v>9</v>
      </c>
      <c r="N1" t="s">
        <v>14</v>
      </c>
      <c r="O1" t="s">
        <v>20</v>
      </c>
      <c r="P1" t="s">
        <v>17</v>
      </c>
      <c r="Q1" t="s">
        <v>18</v>
      </c>
      <c r="R1" t="s">
        <v>21</v>
      </c>
      <c r="S1" t="s">
        <v>24</v>
      </c>
      <c r="T1" t="s">
        <v>53</v>
      </c>
      <c r="U1" t="s">
        <v>62</v>
      </c>
    </row>
    <row r="2" spans="1:21" x14ac:dyDescent="0.2">
      <c r="A2">
        <f>ROW() - 2</f>
        <v>0</v>
      </c>
      <c r="B2" s="1" t="s">
        <v>13</v>
      </c>
      <c r="C2" t="s">
        <v>19</v>
      </c>
      <c r="D2">
        <v>443</v>
      </c>
      <c r="E2">
        <v>80</v>
      </c>
      <c r="F2">
        <v>0</v>
      </c>
      <c r="G2" t="s">
        <v>10</v>
      </c>
      <c r="H2">
        <v>12</v>
      </c>
      <c r="I2">
        <v>10</v>
      </c>
      <c r="J2" s="2" t="s">
        <v>22</v>
      </c>
      <c r="K2" s="2" t="s">
        <v>23</v>
      </c>
      <c r="L2" s="2" t="s">
        <v>22</v>
      </c>
      <c r="M2" s="2" t="s">
        <v>22</v>
      </c>
      <c r="N2" s="2" t="s">
        <v>15</v>
      </c>
      <c r="O2" s="2"/>
      <c r="S2">
        <v>0</v>
      </c>
      <c r="T2">
        <v>10</v>
      </c>
      <c r="U2">
        <v>0</v>
      </c>
    </row>
    <row r="3" spans="1:21" x14ac:dyDescent="0.2">
      <c r="A3">
        <f>ROW() - 2</f>
        <v>1</v>
      </c>
      <c r="B3" s="1" t="s">
        <v>13</v>
      </c>
      <c r="C3" t="s">
        <v>19</v>
      </c>
      <c r="D3">
        <v>443</v>
      </c>
      <c r="E3">
        <v>80</v>
      </c>
      <c r="F3">
        <v>2.5</v>
      </c>
      <c r="G3" t="s">
        <v>10</v>
      </c>
      <c r="H3">
        <v>20</v>
      </c>
      <c r="I3">
        <v>14</v>
      </c>
      <c r="J3" s="2" t="s">
        <v>22</v>
      </c>
      <c r="K3" s="2" t="s">
        <v>23</v>
      </c>
      <c r="L3" s="2" t="s">
        <v>22</v>
      </c>
      <c r="M3" s="2" t="s">
        <v>22</v>
      </c>
      <c r="N3" t="s">
        <v>15</v>
      </c>
      <c r="O3" s="4"/>
      <c r="S3">
        <v>0</v>
      </c>
      <c r="T3">
        <v>12</v>
      </c>
      <c r="U3">
        <v>0</v>
      </c>
    </row>
    <row r="4" spans="1:21" x14ac:dyDescent="0.2">
      <c r="A4">
        <v>2</v>
      </c>
      <c r="B4" s="1" t="s">
        <v>58</v>
      </c>
      <c r="C4" t="s">
        <v>19</v>
      </c>
      <c r="D4">
        <v>443</v>
      </c>
      <c r="E4">
        <v>80</v>
      </c>
      <c r="F4">
        <v>2.6</v>
      </c>
      <c r="G4" t="s">
        <v>10</v>
      </c>
      <c r="H4">
        <v>7</v>
      </c>
      <c r="I4">
        <v>11</v>
      </c>
      <c r="J4" s="2" t="s">
        <v>22</v>
      </c>
      <c r="K4" s="2" t="s">
        <v>23</v>
      </c>
      <c r="L4" s="2" t="s">
        <v>22</v>
      </c>
      <c r="M4" s="2" t="s">
        <v>22</v>
      </c>
      <c r="N4" t="s">
        <v>15</v>
      </c>
      <c r="O4" s="2"/>
      <c r="S4">
        <v>0</v>
      </c>
      <c r="T4">
        <v>14</v>
      </c>
      <c r="U4">
        <v>0</v>
      </c>
    </row>
    <row r="5" spans="1:21" x14ac:dyDescent="0.2">
      <c r="A5">
        <v>3</v>
      </c>
      <c r="B5" s="1" t="s">
        <v>58</v>
      </c>
      <c r="C5" t="s">
        <v>19</v>
      </c>
      <c r="D5">
        <v>443</v>
      </c>
      <c r="E5">
        <v>80</v>
      </c>
      <c r="F5">
        <v>3.2</v>
      </c>
      <c r="G5" t="s">
        <v>10</v>
      </c>
      <c r="H5">
        <v>32</v>
      </c>
      <c r="I5">
        <v>10</v>
      </c>
      <c r="J5" s="2" t="s">
        <v>22</v>
      </c>
      <c r="K5" s="2" t="s">
        <v>23</v>
      </c>
      <c r="L5" s="2" t="s">
        <v>22</v>
      </c>
      <c r="M5" s="2" t="s">
        <v>22</v>
      </c>
      <c r="N5" t="s">
        <v>15</v>
      </c>
      <c r="O5" s="2"/>
      <c r="S5">
        <v>0</v>
      </c>
      <c r="T5">
        <v>16</v>
      </c>
      <c r="U5"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783C7-7BC5-F44C-A10E-E978FF638D8D}">
  <dimension ref="A1:AJ5"/>
  <sheetViews>
    <sheetView topLeftCell="AC1" zoomScale="202" zoomScaleNormal="202" workbookViewId="0">
      <selection activeCell="AF1" sqref="AF1:AF1048576"/>
    </sheetView>
  </sheetViews>
  <sheetFormatPr baseColWidth="10" defaultRowHeight="16" x14ac:dyDescent="0.2"/>
  <cols>
    <col min="2" max="2" width="17.1640625" customWidth="1"/>
    <col min="3" max="4" width="18.6640625" customWidth="1"/>
    <col min="6" max="6" width="16.6640625" customWidth="1"/>
    <col min="7" max="7" width="26.5" customWidth="1"/>
    <col min="8" max="8" width="15.5" bestFit="1" customWidth="1"/>
    <col min="9" max="9" width="19.5" customWidth="1"/>
    <col min="10" max="10" width="18.83203125" customWidth="1"/>
    <col min="11" max="11" width="34.5" customWidth="1"/>
    <col min="12" max="12" width="19.5" customWidth="1"/>
    <col min="13" max="14" width="26.6640625" customWidth="1"/>
    <col min="15" max="15" width="28.6640625" customWidth="1"/>
    <col min="16" max="16" width="37.6640625" customWidth="1"/>
    <col min="17" max="17" width="27" customWidth="1"/>
    <col min="18" max="18" width="20" customWidth="1"/>
    <col min="19" max="19" width="18.83203125" customWidth="1"/>
    <col min="20" max="20" width="14.83203125" customWidth="1"/>
    <col min="21" max="21" width="32.5" customWidth="1"/>
    <col min="22" max="22" width="21.83203125" customWidth="1"/>
    <col min="23" max="23" width="24.33203125" customWidth="1"/>
    <col min="24" max="24" width="17.6640625" customWidth="1"/>
    <col min="25" max="25" width="19.5" customWidth="1"/>
    <col min="26" max="26" width="27.6640625" customWidth="1"/>
    <col min="27" max="27" width="31.33203125" customWidth="1"/>
    <col min="28" max="28" width="37.1640625" customWidth="1"/>
    <col min="29" max="29" width="31.33203125" customWidth="1"/>
    <col min="30" max="30" width="23.83203125" customWidth="1"/>
    <col min="31" max="31" width="28.33203125" customWidth="1"/>
    <col min="32" max="32" width="17.33203125" customWidth="1"/>
  </cols>
  <sheetData>
    <row r="1" spans="1:36" x14ac:dyDescent="0.2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4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61</v>
      </c>
      <c r="X1" t="s">
        <v>45</v>
      </c>
      <c r="Y1" t="s">
        <v>46</v>
      </c>
      <c r="Z1" t="s">
        <v>47</v>
      </c>
      <c r="AA1" t="s">
        <v>48</v>
      </c>
      <c r="AB1" t="s">
        <v>49</v>
      </c>
      <c r="AC1" t="s">
        <v>50</v>
      </c>
      <c r="AD1" t="s">
        <v>51</v>
      </c>
      <c r="AE1" t="s">
        <v>52</v>
      </c>
      <c r="AF1" t="s">
        <v>53</v>
      </c>
      <c r="AG1" t="s">
        <v>54</v>
      </c>
      <c r="AH1" s="1" t="s">
        <v>55</v>
      </c>
      <c r="AI1" s="1" t="s">
        <v>56</v>
      </c>
      <c r="AJ1" s="1" t="s">
        <v>57</v>
      </c>
    </row>
    <row r="2" spans="1:36" x14ac:dyDescent="0.2">
      <c r="A2">
        <f>ROW() - 2</f>
        <v>0</v>
      </c>
      <c r="B2" s="1" t="str">
        <f>'mocked packets'!B2</f>
        <v>MAC: HOST A</v>
      </c>
      <c r="C2" t="str">
        <f>'mocked packets'!C2</f>
        <v>MAC: HOST B</v>
      </c>
      <c r="D2">
        <f>'mocked packets'!D2</f>
        <v>443</v>
      </c>
      <c r="E2">
        <f>'mocked packets'!E2</f>
        <v>80</v>
      </c>
      <c r="F2" t="str">
        <f>'mocked packets'!G2</f>
        <v>TCP</v>
      </c>
      <c r="G2">
        <f>'mocked packets'!F2</f>
        <v>0</v>
      </c>
      <c r="H2">
        <f ca="1">G2-H2</f>
        <v>0</v>
      </c>
      <c r="I2">
        <f ca="1">H2-G2</f>
        <v>0</v>
      </c>
      <c r="J2">
        <v>1</v>
      </c>
      <c r="K2">
        <f>IF('mocked packets'!J2="True", 1, 0)</f>
        <v>0</v>
      </c>
      <c r="L2">
        <f>IF('mocked packets'!K2="True", 1, 0)</f>
        <v>1</v>
      </c>
      <c r="M2">
        <f>IF('mocked packets'!L2="True", 1, 0)</f>
        <v>0</v>
      </c>
      <c r="N2">
        <f>IF('mocked packets'!M2="True", 1, 0)</f>
        <v>0</v>
      </c>
      <c r="O2">
        <f>'mocked packets'!I2</f>
        <v>10</v>
      </c>
      <c r="P2">
        <f>O2 /J2</f>
        <v>10</v>
      </c>
      <c r="Q2">
        <f>(O2 -P2 )^2</f>
        <v>0</v>
      </c>
      <c r="R2">
        <f>(Q2/J2)^0.5</f>
        <v>0</v>
      </c>
      <c r="S2">
        <f>IF(J2&gt;1, ('mocked packets'!F2) - ('mocked packets'!F1) + S1, 0)</f>
        <v>0</v>
      </c>
      <c r="T2">
        <f>IF(S2&gt;0,S2/(J2-1), 0)</f>
        <v>0</v>
      </c>
      <c r="U2">
        <f>(S2 -T2)^2</f>
        <v>0</v>
      </c>
      <c r="V2">
        <f t="shared" ref="V2:V3" si="0">IF(J2 &gt; 1, (U2/(J2 - 1))^0.5, 0)</f>
        <v>0</v>
      </c>
      <c r="W2">
        <v>-1</v>
      </c>
      <c r="X2">
        <f>IF('mocked packets'!O2="True", 1, 0)</f>
        <v>0</v>
      </c>
      <c r="Y2">
        <f>IF('mocked packets'!B2="MAC: HOST A",  1, 0)</f>
        <v>1</v>
      </c>
      <c r="Z2">
        <f>IF('mocked packets'!B2="MAC: HOST B",  1, 0)</f>
        <v>0</v>
      </c>
      <c r="AA2">
        <f ca="1">IF(I2&gt;0, Y2/I2, 0)</f>
        <v>0</v>
      </c>
      <c r="AB2">
        <f ca="1">IF(I2&gt;0, Z2/I2, 0)</f>
        <v>0</v>
      </c>
      <c r="AC2">
        <f>IF(AND('mocked packets'!B2="MAC: HOST A", 'mocked packets'!J2=TRUE),  1, 0)</f>
        <v>0</v>
      </c>
      <c r="AD2" cm="1">
        <f t="array" ref="AD2">IF(ISNUMBER(SEARCH(tcp,malformed,'mocked packets'!N2)),1,0)</f>
        <v>0</v>
      </c>
      <c r="AE2">
        <v>0</v>
      </c>
      <c r="AF2" s="2">
        <f>'mocked packets'!T2</f>
        <v>10</v>
      </c>
      <c r="AG2">
        <v>1</v>
      </c>
      <c r="AH2">
        <f xml:space="preserve"> AF2 /AG2</f>
        <v>10</v>
      </c>
      <c r="AI2">
        <v>0</v>
      </c>
      <c r="AJ2">
        <f>(AI2/AG2)^2</f>
        <v>0</v>
      </c>
    </row>
    <row r="3" spans="1:36" x14ac:dyDescent="0.2">
      <c r="A3">
        <f>ROW() - 2</f>
        <v>1</v>
      </c>
      <c r="B3" s="1" t="str">
        <f>'mocked packets'!B3</f>
        <v>MAC: HOST A</v>
      </c>
      <c r="C3" t="str">
        <f>'mocked packets'!C3</f>
        <v>MAC: HOST B</v>
      </c>
      <c r="D3">
        <f>'mocked packets'!D3</f>
        <v>443</v>
      </c>
      <c r="E3">
        <f>'mocked packets'!E3</f>
        <v>80</v>
      </c>
      <c r="F3" t="str">
        <f>'mocked packets'!G2</f>
        <v>TCP</v>
      </c>
      <c r="G3">
        <f>'mocked packets'!F2</f>
        <v>0</v>
      </c>
      <c r="H3">
        <f>'mocked packets'!F3</f>
        <v>2.5</v>
      </c>
      <c r="I3">
        <f t="shared" ref="I3:I5" si="1">H3-G3</f>
        <v>2.5</v>
      </c>
      <c r="J3">
        <f>J2 + 1</f>
        <v>2</v>
      </c>
      <c r="K3" s="1">
        <f>IF('mocked packets'!J3="True", 1+K2, 0+K2)</f>
        <v>0</v>
      </c>
      <c r="L3">
        <f>IF('mocked packets'!K2="True", 1 +L2, 0 + L2)</f>
        <v>2</v>
      </c>
      <c r="M3">
        <f>IF('mocked packets'!L3="True", 1+M2, 0+M2)</f>
        <v>0</v>
      </c>
      <c r="N3">
        <f>IF('mocked packets'!M3="True", 1 + N2, 0 + N2)</f>
        <v>0</v>
      </c>
      <c r="O3">
        <f>'mocked packets'!I3 + O2</f>
        <v>24</v>
      </c>
      <c r="P3">
        <f t="shared" ref="P3:P5" si="2">O3 /J3</f>
        <v>12</v>
      </c>
      <c r="Q3">
        <f>('mocked packets'!I3  -P3 )^2 + Q2</f>
        <v>4</v>
      </c>
      <c r="R3">
        <f t="shared" ref="R3:R5" si="3">(Q3/J3)^0.5</f>
        <v>1.4142135623730951</v>
      </c>
      <c r="S3">
        <f>IF(J3&gt;1, ('mocked packets'!F3) - ('mocked packets'!F2) + S2, 0)</f>
        <v>2.5</v>
      </c>
      <c r="T3">
        <f>IF(S3&gt;0,S3/(J3-1), 0)</f>
        <v>2.5</v>
      </c>
      <c r="U3">
        <f t="shared" ref="U3" si="4">(S3 -T3)^2</f>
        <v>0</v>
      </c>
      <c r="V3">
        <f t="shared" si="0"/>
        <v>0</v>
      </c>
      <c r="W3">
        <v>-1</v>
      </c>
      <c r="X3" s="3">
        <f>IF('mocked packets'!O2="True", 1+X2, 0+X2)</f>
        <v>0</v>
      </c>
      <c r="Y3">
        <f>IF('mocked packets'!B2="MAC: HOST A",  1 + Y2, 0)</f>
        <v>2</v>
      </c>
      <c r="Z3">
        <f>IF('mocked packets'!B2="MAC: HOST B",  1 + Z2, 0 + Z2)</f>
        <v>0</v>
      </c>
      <c r="AA3">
        <f>IF(I3&gt;0, Y3/I3, 0)</f>
        <v>0.8</v>
      </c>
      <c r="AB3">
        <f>IF(I3&gt;0, Z3/I3, 0)</f>
        <v>0</v>
      </c>
      <c r="AC3">
        <f>IF(AND('mocked packets'!B2="MAC: HOST A", 'mocked packets'!J3=TRUE),  1 + AC2, 0 + AC2)</f>
        <v>0</v>
      </c>
      <c r="AD3" cm="1">
        <f t="array" ref="AD3">IF(ISNUMBER(SEARCH(tcp,malformed,'mocked packets'!N2)),1 + AD2,0 + AD2)</f>
        <v>0</v>
      </c>
      <c r="AE3">
        <v>0</v>
      </c>
      <c r="AF3">
        <f>'mocked packets'!T3 + AF2</f>
        <v>22</v>
      </c>
      <c r="AG3">
        <f>AG2 + 1</f>
        <v>2</v>
      </c>
      <c r="AH3">
        <f t="shared" ref="AH3:AH5" si="5" xml:space="preserve"> AF3 /AG3</f>
        <v>11</v>
      </c>
      <c r="AI3">
        <f>((AF3 - AF2) - AH3)^2 + AI2</f>
        <v>1</v>
      </c>
      <c r="AJ3">
        <f>(AI3/AG3) ^0.5</f>
        <v>0.70710678118654757</v>
      </c>
    </row>
    <row r="4" spans="1:36" x14ac:dyDescent="0.2">
      <c r="A4">
        <v>2</v>
      </c>
      <c r="B4" s="1" t="str">
        <f>'mocked packets'!B5</f>
        <v>MAC: HOST C</v>
      </c>
      <c r="C4" t="str">
        <f>'mocked packets'!C5</f>
        <v>MAC: HOST B</v>
      </c>
      <c r="D4">
        <f>'mocked packets'!D5</f>
        <v>443</v>
      </c>
      <c r="E4">
        <f>'mocked packets'!E5</f>
        <v>80</v>
      </c>
      <c r="F4" t="str">
        <f>'mocked packets'!G2</f>
        <v>TCP</v>
      </c>
      <c r="G4">
        <f>'mocked packets'!F4</f>
        <v>2.6</v>
      </c>
      <c r="H4">
        <f>'mocked packets'!F4</f>
        <v>2.6</v>
      </c>
      <c r="I4">
        <f>H4-G4</f>
        <v>0</v>
      </c>
      <c r="J4">
        <f>1</f>
        <v>1</v>
      </c>
      <c r="K4" s="1">
        <f>IF('mocked packets'!J4="True", 1+K3, 0+K3)</f>
        <v>0</v>
      </c>
      <c r="L4">
        <f>IF('mocked packets'!K3="True", 1, 0)</f>
        <v>1</v>
      </c>
      <c r="M4">
        <f>IF('mocked packets'!L4=TRUE, 1+M3, 0+M3)</f>
        <v>0</v>
      </c>
      <c r="N4">
        <f>IF('mocked packets'!M4="True", 1 + N3, 0 + N3)</f>
        <v>0</v>
      </c>
      <c r="O4">
        <f>'mocked packets'!I4</f>
        <v>11</v>
      </c>
      <c r="P4">
        <f t="shared" si="2"/>
        <v>11</v>
      </c>
      <c r="Q4">
        <f>('mocked packets'!I4  -P4 )^2</f>
        <v>0</v>
      </c>
      <c r="R4">
        <f t="shared" si="3"/>
        <v>0</v>
      </c>
      <c r="S4">
        <f>IF(J4&gt;1, ('mocked packets'!F4) - ('mocked packets'!F3), 0)</f>
        <v>0</v>
      </c>
      <c r="T4">
        <f t="shared" ref="T4:T5" si="6">IF(S4&gt;0,S4/(J4-1), 0)</f>
        <v>0</v>
      </c>
      <c r="U4">
        <f>0</f>
        <v>0</v>
      </c>
      <c r="V4">
        <f>IF(J4 &gt; 1, (U4/(J4 - 1))^0.5, 0)</f>
        <v>0</v>
      </c>
      <c r="W4">
        <v>-1</v>
      </c>
      <c r="X4" s="3">
        <f>IF(NOT('mocked packets'!O4), 0 + X3, 1 + X3)</f>
        <v>0</v>
      </c>
      <c r="Y4">
        <f>IF('mocked packets'!B4="MAC: HOST C",  1, 0)</f>
        <v>1</v>
      </c>
      <c r="Z4">
        <f>IF('mocked packets'!B3="MAC: HOST B",  1 + Z3, 0 + Z3)</f>
        <v>0</v>
      </c>
      <c r="AA4">
        <f>IF(I4&gt;0, Y4/I4, 0)</f>
        <v>0</v>
      </c>
      <c r="AB4">
        <f>IF(I4&gt;0, Z4/I4, 0)</f>
        <v>0</v>
      </c>
      <c r="AC4">
        <f>IF(AND('mocked packets'!B3="MAC: HOST A", 'mocked packets'!J4=TRUE),  1 + AC3, 0 + AC3)</f>
        <v>0</v>
      </c>
      <c r="AD4" cm="1">
        <f t="array" ref="AD4">IF(ISNUMBER(SEARCH(tcp,malformed,'mocked packets'!N3)),1 + AD3,0 + AD3)</f>
        <v>0</v>
      </c>
      <c r="AE4">
        <v>0</v>
      </c>
      <c r="AF4">
        <f>'mocked packets'!T4</f>
        <v>14</v>
      </c>
      <c r="AG4">
        <f>1</f>
        <v>1</v>
      </c>
      <c r="AH4">
        <f t="shared" si="5"/>
        <v>14</v>
      </c>
      <c r="AI4">
        <f>0</f>
        <v>0</v>
      </c>
      <c r="AJ4">
        <f t="shared" ref="AJ4:AJ5" si="7">(AI4/AG4) ^0.5</f>
        <v>0</v>
      </c>
    </row>
    <row r="5" spans="1:36" x14ac:dyDescent="0.2">
      <c r="A5">
        <v>3</v>
      </c>
      <c r="B5" s="1" t="str">
        <f>'mocked packets'!B4</f>
        <v>MAC: HOST C</v>
      </c>
      <c r="C5" t="str">
        <f>'mocked packets'!C4</f>
        <v>MAC: HOST B</v>
      </c>
      <c r="D5">
        <f>'mocked packets'!D4</f>
        <v>443</v>
      </c>
      <c r="E5">
        <f>'mocked packets'!E4</f>
        <v>80</v>
      </c>
      <c r="F5" t="str">
        <f>'mocked packets'!G2</f>
        <v>TCP</v>
      </c>
      <c r="G5">
        <f>'mocked packets'!F4</f>
        <v>2.6</v>
      </c>
      <c r="H5">
        <f>'mocked packets'!F5</f>
        <v>3.2</v>
      </c>
      <c r="I5">
        <f t="shared" si="1"/>
        <v>0.60000000000000009</v>
      </c>
      <c r="J5">
        <f>J4 + 1</f>
        <v>2</v>
      </c>
      <c r="K5" s="1">
        <f>IF('mocked packets'!J5="True", 1+K4, 0+K4)</f>
        <v>0</v>
      </c>
      <c r="L5">
        <f>IF('mocked packets'!K4="True", 1 +L4, 0 + L4)</f>
        <v>2</v>
      </c>
      <c r="M5">
        <f>IF('mocked packets'!L5=TRUE, 1+M4, 0+M4)</f>
        <v>0</v>
      </c>
      <c r="N5">
        <f>IF('mocked packets'!M5="True", 1 + N4, 0 + N4)</f>
        <v>0</v>
      </c>
      <c r="O5">
        <f>'mocked packets'!I5 + O4</f>
        <v>21</v>
      </c>
      <c r="P5">
        <f t="shared" si="2"/>
        <v>10.5</v>
      </c>
      <c r="Q5">
        <f>('mocked packets'!I5  -P5 )^2 + Q4</f>
        <v>0.25</v>
      </c>
      <c r="R5">
        <f t="shared" si="3"/>
        <v>0.35355339059327379</v>
      </c>
      <c r="S5">
        <f>IF(J5&gt;1, ('mocked packets'!F5) - ('mocked packets'!F4) + S4, 0)</f>
        <v>0.60000000000000009</v>
      </c>
      <c r="T5">
        <f t="shared" si="6"/>
        <v>0.60000000000000009</v>
      </c>
      <c r="U5">
        <f>(('mocked packets'!F5 - 'mocked packets'!F4) - T5)^2 + U4</f>
        <v>0</v>
      </c>
      <c r="V5">
        <f t="shared" ref="V5" si="8">IF(J5 &gt; 1, (U5/(J5 - 1))^0.5, 0)</f>
        <v>0</v>
      </c>
      <c r="W5">
        <v>-1</v>
      </c>
      <c r="X5" s="3">
        <f>IF(NOT('mocked packets'!O5), 0 + X4, 1 + X4)</f>
        <v>0</v>
      </c>
      <c r="Y5">
        <f>IF('mocked packets'!B5="MAC: HOST C",  1 + Y4, 0 + Y4)</f>
        <v>2</v>
      </c>
      <c r="Z5">
        <f>IF('mocked packets'!B4="MAC: HOST B",  1 + Z4, 0 + Z4)</f>
        <v>0</v>
      </c>
      <c r="AA5">
        <f>IF(I5&gt;0, Y5/I5, 0)</f>
        <v>3.333333333333333</v>
      </c>
      <c r="AB5">
        <f>IF(I5&gt;0, Z5/I5, 0)</f>
        <v>0</v>
      </c>
      <c r="AC5">
        <f>IF(AND('mocked packets'!B4="MAC: HOST A", 'mocked packets'!J5=TRUE),  1 + AC4, 0 + AC4)</f>
        <v>0</v>
      </c>
      <c r="AD5" cm="1">
        <f t="array" ref="AD5">IF(ISNUMBER(SEARCH(tcp,malformed,'mocked packets'!N4)),1 + AD4,0 + AD4)</f>
        <v>0</v>
      </c>
      <c r="AE5">
        <v>0</v>
      </c>
      <c r="AF5">
        <f>'mocked packets'!T5 + AF4</f>
        <v>30</v>
      </c>
      <c r="AG5">
        <f t="shared" ref="AG5" si="9">AG4 + 1</f>
        <v>2</v>
      </c>
      <c r="AH5">
        <f t="shared" si="5"/>
        <v>15</v>
      </c>
      <c r="AI5">
        <f>((AF5 - AF4) - AH5)^2 + AI4</f>
        <v>1</v>
      </c>
      <c r="AJ5">
        <f t="shared" si="7"/>
        <v>0.70710678118654757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52193-E28E-0B41-A188-835F630FAF1B}">
  <dimension ref="A1:AJ5"/>
  <sheetViews>
    <sheetView tabSelected="1" zoomScale="202" zoomScaleNormal="202" workbookViewId="0">
      <selection activeCell="G8" sqref="G8"/>
    </sheetView>
  </sheetViews>
  <sheetFormatPr baseColWidth="10" defaultRowHeight="16" x14ac:dyDescent="0.2"/>
  <cols>
    <col min="2" max="2" width="17.1640625" customWidth="1"/>
    <col min="3" max="4" width="18.6640625" customWidth="1"/>
    <col min="6" max="6" width="16.6640625" customWidth="1"/>
    <col min="7" max="7" width="26.5" customWidth="1"/>
    <col min="8" max="8" width="15.5" bestFit="1" customWidth="1"/>
    <col min="9" max="9" width="19.5" customWidth="1"/>
    <col min="10" max="10" width="18.83203125" customWidth="1"/>
    <col min="11" max="11" width="34.5" customWidth="1"/>
    <col min="12" max="12" width="19.5" customWidth="1"/>
    <col min="13" max="14" width="26.6640625" customWidth="1"/>
    <col min="15" max="15" width="28.6640625" customWidth="1"/>
    <col min="16" max="16" width="37.6640625" customWidth="1"/>
    <col min="17" max="17" width="27" customWidth="1"/>
    <col min="18" max="18" width="20" customWidth="1"/>
    <col min="19" max="19" width="18.83203125" customWidth="1"/>
    <col min="20" max="20" width="14.83203125" customWidth="1"/>
    <col min="21" max="21" width="32.5" customWidth="1"/>
    <col min="22" max="22" width="21.83203125" customWidth="1"/>
    <col min="23" max="23" width="24.33203125" customWidth="1"/>
    <col min="24" max="24" width="17.6640625" customWidth="1"/>
    <col min="25" max="25" width="19.5" customWidth="1"/>
    <col min="26" max="26" width="27.6640625" customWidth="1"/>
    <col min="27" max="27" width="31.33203125" customWidth="1"/>
    <col min="28" max="28" width="37.1640625" customWidth="1"/>
    <col min="29" max="29" width="31.33203125" customWidth="1"/>
    <col min="30" max="30" width="13.6640625" customWidth="1"/>
    <col min="31" max="31" width="28.33203125" customWidth="1"/>
    <col min="32" max="32" width="15.6640625" customWidth="1"/>
  </cols>
  <sheetData>
    <row r="1" spans="1:36" x14ac:dyDescent="0.2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4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61</v>
      </c>
      <c r="X1" s="1" t="s">
        <v>45</v>
      </c>
      <c r="Y1" s="1" t="s">
        <v>46</v>
      </c>
      <c r="Z1" s="1" t="s">
        <v>47</v>
      </c>
      <c r="AA1" s="1" t="s">
        <v>48</v>
      </c>
      <c r="AB1" s="1" t="s">
        <v>49</v>
      </c>
      <c r="AC1" s="1" t="s">
        <v>50</v>
      </c>
      <c r="AD1" s="1" t="s">
        <v>51</v>
      </c>
      <c r="AE1" s="1" t="s">
        <v>52</v>
      </c>
      <c r="AF1" s="1" t="s">
        <v>53</v>
      </c>
      <c r="AG1" s="1" t="s">
        <v>54</v>
      </c>
      <c r="AH1" s="1" t="s">
        <v>55</v>
      </c>
      <c r="AI1" s="1" t="s">
        <v>56</v>
      </c>
      <c r="AJ1" s="1" t="s">
        <v>57</v>
      </c>
    </row>
    <row r="2" spans="1:36" x14ac:dyDescent="0.2">
      <c r="A2">
        <f>ROW() - 2</f>
        <v>0</v>
      </c>
      <c r="B2" s="1" t="s">
        <v>59</v>
      </c>
      <c r="C2" t="str">
        <f>'mocked packets'!C2</f>
        <v>MAC: HOST B</v>
      </c>
      <c r="D2">
        <f>'mocked packets'!D2</f>
        <v>443</v>
      </c>
      <c r="E2">
        <f>'mocked packets'!E2</f>
        <v>80</v>
      </c>
      <c r="F2" t="str">
        <f>'mocked packets'!G2</f>
        <v>TCP</v>
      </c>
      <c r="G2">
        <f>'mocked packets'!F2</f>
        <v>0</v>
      </c>
      <c r="H2">
        <f ca="1">G2-H2</f>
        <v>0</v>
      </c>
      <c r="I2">
        <f ca="1">H2-G2</f>
        <v>0</v>
      </c>
      <c r="J2">
        <v>1</v>
      </c>
      <c r="K2">
        <f>IF('mocked packets'!J2="True", 1, 0)</f>
        <v>0</v>
      </c>
      <c r="L2">
        <f>IF('mocked packets'!K2="True", 1, 0)</f>
        <v>1</v>
      </c>
      <c r="M2">
        <f>IF('mocked packets'!L2="True", 1, 0)</f>
        <v>0</v>
      </c>
      <c r="N2">
        <f>IF('mocked packets'!M2="True", 1, 0)</f>
        <v>0</v>
      </c>
      <c r="O2">
        <f>'mocked packets'!I2</f>
        <v>10</v>
      </c>
      <c r="P2">
        <f>O2 /J2</f>
        <v>10</v>
      </c>
      <c r="Q2">
        <f>(O2 -P2 )^2</f>
        <v>0</v>
      </c>
      <c r="R2">
        <f>(Q2/J2)^0.5</f>
        <v>0</v>
      </c>
      <c r="S2">
        <f>IF(J2&gt;1, ('mocked packets'!F2) - ('mocked packets'!F1) + S1, 0)</f>
        <v>0</v>
      </c>
      <c r="T2">
        <f>IF(S2&gt;0,S2/(J2-1), 0)</f>
        <v>0</v>
      </c>
      <c r="U2">
        <f>(S2 -T2)^2</f>
        <v>0</v>
      </c>
      <c r="V2">
        <f t="shared" ref="V2:V3" si="0">IF(J2 &gt; 1, (U2/(J2 - 1))^0.5, 0)</f>
        <v>0</v>
      </c>
      <c r="W2">
        <v>-1</v>
      </c>
      <c r="X2">
        <f>IF('mocked packets'!O2="True", 1, 0)</f>
        <v>0</v>
      </c>
      <c r="Y2">
        <f>IF('mocked packets'!B2="MAC: HOST A",  1, 0)</f>
        <v>1</v>
      </c>
      <c r="Z2">
        <f>IF('mocked packets'!B2="MAC: HOST B",  1, 0)</f>
        <v>0</v>
      </c>
      <c r="AA2">
        <f ca="1">IF(I2&gt;0, Y2/I2, 0)</f>
        <v>0</v>
      </c>
      <c r="AB2">
        <f ca="1">IF(I2&gt;0, Z2/I2, 0)</f>
        <v>0</v>
      </c>
      <c r="AC2">
        <f>IF(AND('mocked packets'!B2="MAC: HOST A", 'mocked packets'!J2=TRUE),  1, 0)</f>
        <v>0</v>
      </c>
      <c r="AD2" cm="1">
        <f t="array" ref="AD2">IF(ISNUMBER(SEARCH(tcp,malformed,'mocked packets'!N2)),1,0)</f>
        <v>0</v>
      </c>
      <c r="AE2">
        <v>0</v>
      </c>
      <c r="AF2" s="1">
        <f>'mocked packets'!T2</f>
        <v>10</v>
      </c>
      <c r="AG2" s="1">
        <v>1</v>
      </c>
      <c r="AH2">
        <f xml:space="preserve"> AF2 /AG2</f>
        <v>10</v>
      </c>
      <c r="AI2">
        <v>0</v>
      </c>
      <c r="AJ2">
        <f>(AI2/AG2)^2</f>
        <v>0</v>
      </c>
    </row>
    <row r="3" spans="1:36" x14ac:dyDescent="0.2">
      <c r="A3">
        <f>ROW() - 2</f>
        <v>1</v>
      </c>
      <c r="B3" s="1" t="s">
        <v>59</v>
      </c>
      <c r="C3" t="str">
        <f>'mocked packets'!C3</f>
        <v>MAC: HOST B</v>
      </c>
      <c r="D3">
        <f>'mocked packets'!D3</f>
        <v>443</v>
      </c>
      <c r="E3">
        <f>'mocked packets'!E3</f>
        <v>80</v>
      </c>
      <c r="F3" t="str">
        <f>'mocked packets'!G2</f>
        <v>TCP</v>
      </c>
      <c r="G3">
        <f>'mocked packets'!F2</f>
        <v>0</v>
      </c>
      <c r="H3">
        <f>'mocked packets'!F3</f>
        <v>2.5</v>
      </c>
      <c r="I3">
        <f t="shared" ref="I3" si="1">H3-G3</f>
        <v>2.5</v>
      </c>
      <c r="J3">
        <f>J2 + 1</f>
        <v>2</v>
      </c>
      <c r="K3" s="1">
        <f>IF('mocked packets'!J3="True", 1+K2, 0+K2)</f>
        <v>0</v>
      </c>
      <c r="L3">
        <f>IF('mocked packets'!K2="True", 1 +L2, 0 + L2)</f>
        <v>2</v>
      </c>
      <c r="M3">
        <f>IF('mocked packets'!L3="True", 1+M2, 0+M2)</f>
        <v>0</v>
      </c>
      <c r="N3">
        <f>IF('mocked packets'!M3="True", 1 + N2, 0 + N2)</f>
        <v>0</v>
      </c>
      <c r="O3">
        <f>'mocked packets'!I3 + O2</f>
        <v>24</v>
      </c>
      <c r="P3">
        <f t="shared" ref="P3:P5" si="2">O3 /J3</f>
        <v>12</v>
      </c>
      <c r="Q3">
        <f>('mocked packets'!I3  -P3 )^2 + Q2</f>
        <v>4</v>
      </c>
      <c r="R3">
        <f t="shared" ref="R3:R5" si="3">(Q3/J3)^0.5</f>
        <v>1.4142135623730951</v>
      </c>
      <c r="S3">
        <f>IF(J3&gt;1, ('mocked packets'!F3) - ('mocked packets'!F2) + S2, 0)</f>
        <v>2.5</v>
      </c>
      <c r="T3">
        <f>IF(S3&gt;0,S3/(J3-1), 0)</f>
        <v>2.5</v>
      </c>
      <c r="U3">
        <f t="shared" ref="U3" si="4">(S3 -T3)^2</f>
        <v>0</v>
      </c>
      <c r="V3">
        <f t="shared" si="0"/>
        <v>0</v>
      </c>
      <c r="W3">
        <v>-1</v>
      </c>
      <c r="X3" s="3">
        <f>IF('mocked packets'!O2="True", 1+X2, 0+X2)</f>
        <v>0</v>
      </c>
      <c r="Y3">
        <f>IF('mocked packets'!B2="MAC: HOST A",  1 + Y2, 0)</f>
        <v>2</v>
      </c>
      <c r="Z3">
        <f>IF('mocked packets'!B2="MAC: HOST B",  1 + Z2, 0 + Z2)</f>
        <v>0</v>
      </c>
      <c r="AA3">
        <f>IF(I3&gt;0, Y3/I3, 0)</f>
        <v>0.8</v>
      </c>
      <c r="AB3">
        <f>IF(I3&gt;0, Z3/I3, 0)</f>
        <v>0</v>
      </c>
      <c r="AC3">
        <f>IF(AND('mocked packets'!B2="MAC: HOST A", 'mocked packets'!J3=TRUE),  1 + AC2, 0 + AC2)</f>
        <v>0</v>
      </c>
      <c r="AD3" cm="1">
        <f t="array" ref="AD3">IF(ISNUMBER(SEARCH(tcp,malformed,'mocked packets'!N2)),1 + AD2,0 + AD2)</f>
        <v>0</v>
      </c>
      <c r="AE3">
        <v>0</v>
      </c>
      <c r="AF3" s="1">
        <f>'mocked packets'!T3 + AF2</f>
        <v>22</v>
      </c>
      <c r="AG3" s="1">
        <v>2</v>
      </c>
      <c r="AH3">
        <f t="shared" ref="AH3:AH5" si="5" xml:space="preserve"> AF3 /AG3</f>
        <v>11</v>
      </c>
      <c r="AI3">
        <f>((AF3 - AF2) - AH3)^2 + AI2</f>
        <v>1</v>
      </c>
      <c r="AJ3">
        <f>(AI3/AG3) ^0.5</f>
        <v>0.70710678118654757</v>
      </c>
    </row>
    <row r="4" spans="1:36" x14ac:dyDescent="0.2">
      <c r="A4">
        <v>2</v>
      </c>
      <c r="B4" s="1" t="s">
        <v>60</v>
      </c>
      <c r="C4" t="str">
        <f>'mocked packets'!C5</f>
        <v>MAC: HOST B</v>
      </c>
      <c r="D4">
        <f>'mocked packets'!D5</f>
        <v>443</v>
      </c>
      <c r="E4">
        <f>'mocked packets'!E5</f>
        <v>80</v>
      </c>
      <c r="F4" t="str">
        <f>'mocked packets'!G2</f>
        <v>TCP</v>
      </c>
      <c r="G4">
        <f>'mocked packets'!F2</f>
        <v>0</v>
      </c>
      <c r="H4">
        <f>'mocked packets'!F4</f>
        <v>2.6</v>
      </c>
      <c r="I4">
        <f>I3</f>
        <v>2.5</v>
      </c>
      <c r="J4">
        <f t="shared" ref="J4:J5" si="6">J3 + 1</f>
        <v>3</v>
      </c>
      <c r="K4" s="1">
        <f>IF('mocked packets'!J4="True", 1+K3, 0+K3)</f>
        <v>0</v>
      </c>
      <c r="L4">
        <f>IF('mocked packets'!K3="True", 1 +L3, 0 + L3)</f>
        <v>3</v>
      </c>
      <c r="M4">
        <f>IF('mocked packets'!L4=TRUE, 1+M3, 0+M3)</f>
        <v>0</v>
      </c>
      <c r="N4">
        <f>IF('mocked packets'!M4="True", 1 + N3, 0 + N3)</f>
        <v>0</v>
      </c>
      <c r="O4">
        <f>'mocked packets'!I4 + O3</f>
        <v>35</v>
      </c>
      <c r="P4">
        <f t="shared" si="2"/>
        <v>11.666666666666666</v>
      </c>
      <c r="Q4">
        <f>('mocked packets'!I4  -P4 )^2 + Q3</f>
        <v>4.4444444444444438</v>
      </c>
      <c r="R4">
        <f t="shared" si="3"/>
        <v>1.217161238900369</v>
      </c>
      <c r="S4">
        <f>S3</f>
        <v>2.5</v>
      </c>
      <c r="T4">
        <f>T3</f>
        <v>2.5</v>
      </c>
      <c r="U4">
        <f>0</f>
        <v>0</v>
      </c>
      <c r="V4">
        <f>IF(J4 &gt; 1, (U4/(J4 - 1))^0.5, 0)</f>
        <v>0</v>
      </c>
      <c r="W4">
        <v>-1</v>
      </c>
      <c r="X4" s="3">
        <f>IF(NOT('mocked packets'!O4), 0 + X3, 1 + X3)</f>
        <v>0</v>
      </c>
      <c r="Y4">
        <f>IF('mocked packets'!B3="MAC: HOST A",  1 + Y3, 0)</f>
        <v>3</v>
      </c>
      <c r="Z4">
        <f>IF('mocked packets'!B3="MAC: HOST B",  1 + Z3, 0 + Z3)</f>
        <v>0</v>
      </c>
      <c r="AA4">
        <f>IF(I4&gt;0, Y4/I4, 0)</f>
        <v>1.2</v>
      </c>
      <c r="AB4">
        <f>IF(I4&gt;0, Z4/I4, 0)</f>
        <v>0</v>
      </c>
      <c r="AC4">
        <f>IF(AND('mocked packets'!B3="MAC: HOST A", 'mocked packets'!J4=TRUE),  1 + AC3, 0 + AC3)</f>
        <v>0</v>
      </c>
      <c r="AD4" cm="1">
        <f t="array" ref="AD4">IF(ISNUMBER(SEARCH(tcp,malformed,'mocked packets'!N3)),1 + AD3,0 + AD3)</f>
        <v>0</v>
      </c>
      <c r="AE4">
        <v>0</v>
      </c>
      <c r="AF4" s="1">
        <f>'mocked packets'!T4 + AF3</f>
        <v>36</v>
      </c>
      <c r="AG4" s="1">
        <v>3</v>
      </c>
      <c r="AH4">
        <f t="shared" si="5"/>
        <v>12</v>
      </c>
      <c r="AI4">
        <f t="shared" ref="AI4:AI5" si="7">((AF4 - AF3) - AH4)^2 + AI3</f>
        <v>5</v>
      </c>
      <c r="AJ4">
        <f t="shared" ref="AJ4:AJ5" si="8">(AI4/AG4) ^0.5</f>
        <v>1.2909944487358056</v>
      </c>
    </row>
    <row r="5" spans="1:36" x14ac:dyDescent="0.2">
      <c r="A5">
        <v>3</v>
      </c>
      <c r="B5" s="1" t="s">
        <v>60</v>
      </c>
      <c r="C5" t="str">
        <f>'mocked packets'!C4</f>
        <v>MAC: HOST B</v>
      </c>
      <c r="D5">
        <f>'mocked packets'!D4</f>
        <v>443</v>
      </c>
      <c r="E5">
        <f>'mocked packets'!E4</f>
        <v>80</v>
      </c>
      <c r="F5" t="str">
        <f>'mocked packets'!G2</f>
        <v>TCP</v>
      </c>
      <c r="G5">
        <f>'mocked packets'!F2</f>
        <v>0</v>
      </c>
      <c r="H5">
        <f>'mocked packets'!F5</f>
        <v>3.2</v>
      </c>
      <c r="I5">
        <f>H5-H4 + I4</f>
        <v>3.1</v>
      </c>
      <c r="J5">
        <f t="shared" si="6"/>
        <v>4</v>
      </c>
      <c r="K5" s="1">
        <f>IF('mocked packets'!J5="True", 1+K4, 0+K4)</f>
        <v>0</v>
      </c>
      <c r="L5">
        <f>IF('mocked packets'!K4="True", 1 +L4, 0 + L4)</f>
        <v>4</v>
      </c>
      <c r="M5">
        <f>IF('mocked packets'!L5=TRUE, 1+M4, 0+M4)</f>
        <v>0</v>
      </c>
      <c r="N5">
        <f>IF('mocked packets'!M5="True", 1 + N4, 0 + N4)</f>
        <v>0</v>
      </c>
      <c r="O5">
        <f>'mocked packets'!I5 + O4</f>
        <v>45</v>
      </c>
      <c r="P5">
        <f t="shared" si="2"/>
        <v>11.25</v>
      </c>
      <c r="Q5">
        <f>('mocked packets'!I5  -P5 )^2 + Q4</f>
        <v>6.0069444444444438</v>
      </c>
      <c r="R5">
        <f t="shared" si="3"/>
        <v>1.2254534308210618</v>
      </c>
      <c r="S5">
        <f>IF(J5&gt;1, ('mocked packets'!F5) - ('mocked packets'!F4) + S4, 0)</f>
        <v>3.1</v>
      </c>
      <c r="T5">
        <f t="shared" ref="T5" si="9">IF(S5&gt;0,S5/(J5-1), 0)</f>
        <v>1.0333333333333334</v>
      </c>
      <c r="U5">
        <f>(('mocked packets'!F5 - 'mocked packets'!F4) - T5)^2 + U4</f>
        <v>0.18777777777777779</v>
      </c>
      <c r="V5">
        <f t="shared" ref="V5" si="10">IF(J5 &gt; 1, (U5/(J5 - 1))^0.5, 0)</f>
        <v>0.25018511664883786</v>
      </c>
      <c r="W5">
        <v>-1</v>
      </c>
      <c r="X5" s="3">
        <f>IF(NOT('mocked packets'!O5), 0 + X4, 1 + X4)</f>
        <v>0</v>
      </c>
      <c r="Y5">
        <f>IF('mocked packets'!B4="MAC: HOST C",  1 + Y4, 0)</f>
        <v>4</v>
      </c>
      <c r="Z5">
        <f>IF('mocked packets'!B4="MAC: HOST B",  1 + Z4, 0 + Z4)</f>
        <v>0</v>
      </c>
      <c r="AA5">
        <f>IF(I5&gt;0, Y5/I5, 0)</f>
        <v>1.2903225806451613</v>
      </c>
      <c r="AB5">
        <f>IF(I5&gt;0, Z5/I5, 0)</f>
        <v>0</v>
      </c>
      <c r="AC5">
        <f>IF(AND('mocked packets'!B4="MAC: HOST A", 'mocked packets'!J5=TRUE),  1 + AC4, 0 + AC4)</f>
        <v>0</v>
      </c>
      <c r="AD5" cm="1">
        <f t="array" ref="AD5">IF(ISNUMBER(SEARCH(tcp,malformed,'mocked packets'!N4)),1 + AD4,0 + AD4)</f>
        <v>0</v>
      </c>
      <c r="AE5">
        <v>0</v>
      </c>
      <c r="AF5" s="1">
        <f>'mocked packets'!T5 + AF4</f>
        <v>52</v>
      </c>
      <c r="AG5" s="1">
        <v>4</v>
      </c>
      <c r="AH5">
        <f t="shared" si="5"/>
        <v>13</v>
      </c>
      <c r="AI5">
        <f t="shared" si="7"/>
        <v>14</v>
      </c>
      <c r="AJ5">
        <f t="shared" si="8"/>
        <v>1.8708286933869707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mocked packets</vt:lpstr>
      <vt:lpstr>Channel conversation</vt:lpstr>
      <vt:lpstr>Destination port conversation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Fan Guo</dc:creator>
  <cp:lastModifiedBy>Xin Fan Guo</cp:lastModifiedBy>
  <dcterms:created xsi:type="dcterms:W3CDTF">2024-05-05T20:48:54Z</dcterms:created>
  <dcterms:modified xsi:type="dcterms:W3CDTF">2024-09-02T10:26:41Z</dcterms:modified>
</cp:coreProperties>
</file>